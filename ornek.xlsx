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oth\Desktop\ESKİ DOSYAKAR\Yeni klasör\FİRMALAR\"/>
    </mc:Choice>
  </mc:AlternateContent>
  <bookViews>
    <workbookView xWindow="0" yWindow="0" windowWidth="23040" windowHeight="8016" firstSheet="27" activeTab="32"/>
  </bookViews>
  <sheets>
    <sheet name="ARALIK 2022" sheetId="1" r:id="rId1"/>
    <sheet name="OCAK" sheetId="2" r:id="rId2"/>
    <sheet name="NİSAN" sheetId="7" r:id="rId3"/>
    <sheet name="MAYIS" sheetId="8" r:id="rId4"/>
    <sheet name="HAZİRAN" sheetId="9" r:id="rId5"/>
    <sheet name="TEMMUZ" sheetId="10" r:id="rId6"/>
    <sheet name="EYLÜL" sheetId="11" r:id="rId7"/>
    <sheet name="EKİM" sheetId="12" r:id="rId8"/>
    <sheet name="KASIM" sheetId="13" r:id="rId9"/>
    <sheet name="ARALIK" sheetId="14" r:id="rId10"/>
    <sheet name="OCAK 2024" sheetId="15" r:id="rId11"/>
    <sheet name="ŞUBAT 2024" sheetId="16" r:id="rId12"/>
    <sheet name="MART 2024" sheetId="17" r:id="rId13"/>
    <sheet name="NİSAN 2024" sheetId="18" r:id="rId14"/>
    <sheet name="MAYIS 2024" sheetId="19" r:id="rId15"/>
    <sheet name="HAZİRAN 2024" sheetId="20" r:id="rId16"/>
    <sheet name="TEMMUZ 2024" sheetId="21" r:id="rId17"/>
    <sheet name="AĞUSTOS 2024" sheetId="22" r:id="rId18"/>
    <sheet name="EYLÜL 2024 (2)" sheetId="24" r:id="rId19"/>
    <sheet name="ekim 2024 (2)" sheetId="25" r:id="rId20"/>
    <sheet name="kasım 2024 (2)" sheetId="26" r:id="rId21"/>
    <sheet name="ARALIK 2024 (2)" sheetId="27" r:id="rId22"/>
    <sheet name="OCAK 2025 (2)" sheetId="28" r:id="rId23"/>
    <sheet name="ŞUBAT 2025 (2)" sheetId="29" r:id="rId24"/>
    <sheet name="MART 2025 (2)" sheetId="30" r:id="rId25"/>
    <sheet name="NİSAN 2025 (2)" sheetId="31" r:id="rId26"/>
    <sheet name="MAYIS 2025 (2)" sheetId="32" r:id="rId27"/>
    <sheet name="HAZİRAN 2025 (2)" sheetId="33" r:id="rId28"/>
    <sheet name="TEMMUZ 2025 (2)" sheetId="34" r:id="rId29"/>
    <sheet name="AĞUSTOS 2025 (2)" sheetId="35" r:id="rId30"/>
    <sheet name="EYLÜL 2025 (2)" sheetId="36" r:id="rId31"/>
    <sheet name="EKİM 2025" sheetId="23" r:id="rId32"/>
    <sheet name="CARİ" sheetId="3" r:id="rId3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1" i="23" l="1"/>
  <c r="D49" i="23" l="1"/>
  <c r="D9" i="23" l="1"/>
  <c r="D65" i="36" l="1"/>
  <c r="D59" i="36"/>
  <c r="D31" i="36"/>
  <c r="D25" i="36"/>
  <c r="D5" i="35" l="1"/>
  <c r="D58" i="32" l="1"/>
  <c r="D3" i="32"/>
  <c r="D3" i="30" l="1"/>
  <c r="D30" i="29" l="1"/>
  <c r="D22" i="29"/>
  <c r="D16" i="29"/>
  <c r="D5" i="29"/>
  <c r="D5" i="28" l="1"/>
  <c r="D25" i="27" l="1"/>
  <c r="D24" i="27"/>
  <c r="D23" i="27"/>
  <c r="D26" i="27" s="1"/>
  <c r="D16" i="27"/>
  <c r="D15" i="27"/>
  <c r="D17" i="27" s="1"/>
  <c r="D9" i="27"/>
  <c r="D8" i="27"/>
  <c r="D7" i="27"/>
  <c r="D10" i="27" s="1"/>
  <c r="D3" i="27"/>
  <c r="D30" i="26" l="1"/>
  <c r="D37" i="26"/>
  <c r="D21" i="26"/>
  <c r="D13" i="26"/>
  <c r="D5" i="24" l="1"/>
  <c r="D4" i="24"/>
  <c r="D3" i="24"/>
  <c r="D13" i="22" l="1"/>
  <c r="D12" i="22"/>
  <c r="D11" i="22"/>
  <c r="D7" i="22"/>
  <c r="D6" i="22"/>
  <c r="D4" i="22"/>
  <c r="D5" i="22"/>
  <c r="D3" i="22"/>
  <c r="D6" i="21"/>
  <c r="D4" i="21"/>
  <c r="D5" i="21"/>
  <c r="D3" i="21"/>
  <c r="D24" i="20" l="1"/>
  <c r="D14" i="20"/>
  <c r="D23" i="20" l="1"/>
  <c r="D22" i="20"/>
  <c r="D11" i="20" l="1"/>
  <c r="D12" i="20"/>
  <c r="D13" i="20"/>
  <c r="D10" i="20"/>
  <c r="D10" i="15" l="1"/>
  <c r="D6" i="20" l="1"/>
  <c r="D4" i="20"/>
  <c r="D5" i="20"/>
  <c r="D3" i="20"/>
  <c r="D12" i="19" l="1"/>
  <c r="D6" i="19" l="1"/>
  <c r="D7" i="19"/>
  <c r="D8" i="19"/>
  <c r="D4" i="19" l="1"/>
  <c r="D5" i="19"/>
  <c r="D3" i="19"/>
  <c r="D31" i="18" l="1"/>
  <c r="D30" i="18"/>
  <c r="D19" i="18" l="1"/>
  <c r="D17" i="18"/>
  <c r="D18" i="18"/>
  <c r="D16" i="18"/>
  <c r="D24" i="18" l="1"/>
  <c r="D25" i="18"/>
  <c r="D26" i="18"/>
  <c r="D27" i="18"/>
  <c r="D28" i="18"/>
  <c r="D29" i="18"/>
  <c r="D23" i="18"/>
  <c r="D12" i="18" l="1"/>
  <c r="D4" i="18" l="1"/>
  <c r="D5" i="18"/>
  <c r="D6" i="18"/>
  <c r="D3" i="18"/>
  <c r="D69" i="18"/>
  <c r="D68" i="18"/>
  <c r="D67" i="18"/>
  <c r="D66" i="18"/>
  <c r="D65" i="18"/>
  <c r="D64" i="18"/>
  <c r="D63" i="18"/>
  <c r="D7" i="18" l="1"/>
  <c r="D7" i="16"/>
  <c r="D3" i="17" l="1"/>
  <c r="D68" i="17"/>
  <c r="D67" i="17"/>
  <c r="D66" i="17"/>
  <c r="D65" i="17"/>
  <c r="D64" i="17"/>
  <c r="D63" i="17"/>
  <c r="D62" i="17"/>
  <c r="D48" i="16" l="1"/>
  <c r="D43" i="16" l="1"/>
  <c r="D38" i="16" l="1"/>
  <c r="D29" i="16"/>
  <c r="D30" i="16"/>
  <c r="D31" i="16"/>
  <c r="D32" i="16"/>
  <c r="D33" i="16"/>
  <c r="D34" i="16"/>
  <c r="D35" i="16"/>
  <c r="D36" i="16"/>
  <c r="D37" i="16"/>
  <c r="D28" i="16"/>
  <c r="D4" i="16" l="1"/>
  <c r="D5" i="16"/>
  <c r="D6" i="16"/>
  <c r="D3" i="16"/>
  <c r="D16" i="16" l="1"/>
  <c r="D17" i="16"/>
  <c r="D19" i="16" s="1"/>
  <c r="D18" i="16"/>
  <c r="D15" i="16"/>
  <c r="D68" i="16"/>
  <c r="D67" i="16"/>
  <c r="D66" i="16"/>
  <c r="D65" i="16"/>
  <c r="D64" i="16"/>
  <c r="D63" i="16"/>
  <c r="D62" i="16"/>
  <c r="D9" i="15" l="1"/>
  <c r="D8" i="15"/>
  <c r="D3" i="15" l="1"/>
  <c r="D67" i="15"/>
  <c r="D66" i="15"/>
  <c r="D65" i="15"/>
  <c r="D64" i="15"/>
  <c r="D63" i="15"/>
  <c r="D62" i="15"/>
  <c r="D61" i="15"/>
  <c r="D22" i="14" l="1"/>
  <c r="D14" i="14" l="1"/>
  <c r="D9" i="14" l="1"/>
  <c r="D10" i="14" s="1"/>
  <c r="D18" i="13" l="1"/>
  <c r="D17" i="13"/>
  <c r="D4" i="14" l="1"/>
  <c r="D3" i="14"/>
  <c r="D5" i="14" s="1"/>
  <c r="D67" i="14"/>
  <c r="D66" i="14"/>
  <c r="D65" i="14"/>
  <c r="D64" i="14"/>
  <c r="D63" i="14"/>
  <c r="D62" i="14"/>
  <c r="D61" i="14"/>
  <c r="D16" i="13" l="1"/>
  <c r="D15" i="13"/>
  <c r="D13" i="13"/>
  <c r="D14" i="13"/>
  <c r="D12" i="13" l="1"/>
  <c r="D7" i="13" l="1"/>
  <c r="D4" i="13"/>
  <c r="D5" i="13"/>
  <c r="D6" i="13"/>
  <c r="D3" i="13"/>
  <c r="D76" i="13"/>
  <c r="D75" i="13"/>
  <c r="D74" i="13"/>
  <c r="D73" i="13"/>
  <c r="D72" i="13"/>
  <c r="D71" i="13"/>
  <c r="D70" i="13"/>
  <c r="D68" i="12" l="1"/>
  <c r="D67" i="12"/>
  <c r="D66" i="12"/>
  <c r="D63" i="12" l="1"/>
  <c r="D59" i="12"/>
  <c r="D60" i="12"/>
  <c r="D61" i="12"/>
  <c r="D62" i="12"/>
  <c r="D58" i="12"/>
  <c r="D25" i="12" l="1"/>
  <c r="D26" i="12"/>
  <c r="D27" i="12"/>
  <c r="D28" i="12"/>
  <c r="D29" i="12"/>
  <c r="D38" i="12" l="1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37" i="12"/>
  <c r="D22" i="12"/>
  <c r="D23" i="12"/>
  <c r="D24" i="12"/>
  <c r="D21" i="12"/>
  <c r="D30" i="12" l="1"/>
  <c r="D55" i="12"/>
  <c r="D8" i="12"/>
  <c r="D9" i="12"/>
  <c r="D10" i="12"/>
  <c r="D11" i="12"/>
  <c r="D12" i="12"/>
  <c r="D7" i="12"/>
  <c r="D13" i="12" s="1"/>
  <c r="D53" i="11" l="1"/>
  <c r="D48" i="11"/>
  <c r="D28" i="11"/>
  <c r="D3" i="12" l="1"/>
  <c r="D76" i="12"/>
  <c r="D75" i="12"/>
  <c r="D74" i="12"/>
  <c r="D73" i="12"/>
  <c r="D72" i="12"/>
  <c r="D71" i="12"/>
  <c r="D70" i="12"/>
  <c r="D32" i="11" l="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9" i="11"/>
  <c r="D50" i="11"/>
  <c r="D51" i="11"/>
  <c r="D52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22" i="11" l="1"/>
  <c r="D23" i="11"/>
  <c r="D24" i="11"/>
  <c r="D25" i="11"/>
  <c r="D26" i="11"/>
  <c r="D27" i="11"/>
  <c r="D29" i="11"/>
  <c r="D30" i="11"/>
  <c r="D31" i="11"/>
  <c r="D17" i="11" l="1"/>
  <c r="D18" i="11"/>
  <c r="D19" i="11"/>
  <c r="D20" i="11"/>
  <c r="D21" i="11"/>
  <c r="D4" i="11" l="1"/>
  <c r="D5" i="11"/>
  <c r="D6" i="11"/>
  <c r="D7" i="11"/>
  <c r="D8" i="11"/>
  <c r="D9" i="11"/>
  <c r="D10" i="11"/>
  <c r="D11" i="11"/>
  <c r="D12" i="11"/>
  <c r="D13" i="11"/>
  <c r="D14" i="11"/>
  <c r="D15" i="11"/>
  <c r="D16" i="11"/>
  <c r="D3" i="11"/>
  <c r="D16" i="10" l="1"/>
  <c r="D7" i="10" l="1"/>
  <c r="D8" i="10"/>
  <c r="D9" i="10"/>
  <c r="D10" i="10"/>
  <c r="D11" i="10" s="1"/>
  <c r="D12" i="10"/>
  <c r="D13" i="10"/>
  <c r="D14" i="10"/>
  <c r="D15" i="10"/>
  <c r="D17" i="10"/>
  <c r="D18" i="10"/>
  <c r="D19" i="10"/>
  <c r="D20" i="10"/>
  <c r="D21" i="10"/>
  <c r="D6" i="10"/>
  <c r="D44" i="9" l="1"/>
  <c r="D39" i="9"/>
  <c r="D40" i="9"/>
  <c r="D41" i="9"/>
  <c r="D42" i="9"/>
  <c r="D38" i="9"/>
  <c r="D35" i="9" l="1"/>
  <c r="D30" i="9" l="1"/>
  <c r="D31" i="9"/>
  <c r="D32" i="9"/>
  <c r="D25" i="9" l="1"/>
  <c r="D23" i="9"/>
  <c r="D24" i="9"/>
  <c r="D22" i="9"/>
  <c r="D3" i="9" l="1"/>
  <c r="D6" i="9" s="1"/>
  <c r="D4" i="9"/>
  <c r="D5" i="9"/>
  <c r="D7" i="9"/>
  <c r="D8" i="9"/>
  <c r="D11" i="9" s="1"/>
  <c r="D9" i="9"/>
  <c r="D10" i="9"/>
  <c r="D12" i="9"/>
  <c r="D13" i="9"/>
  <c r="D18" i="9" s="1"/>
  <c r="D14" i="9"/>
  <c r="D15" i="9"/>
  <c r="D16" i="9"/>
  <c r="D17" i="9"/>
  <c r="D29" i="9"/>
  <c r="D33" i="9"/>
  <c r="D2" i="9"/>
  <c r="D20" i="8" l="1"/>
  <c r="D19" i="8"/>
  <c r="D18" i="8"/>
  <c r="D16" i="8"/>
  <c r="D15" i="8"/>
  <c r="D14" i="8"/>
  <c r="D13" i="8"/>
  <c r="D12" i="8"/>
  <c r="D11" i="8"/>
  <c r="D10" i="8"/>
  <c r="D9" i="8"/>
  <c r="D8" i="8"/>
  <c r="D6" i="8"/>
  <c r="D5" i="8"/>
  <c r="D4" i="8"/>
  <c r="D3" i="8"/>
  <c r="D17" i="8" l="1"/>
  <c r="D9" i="7"/>
  <c r="D10" i="7"/>
  <c r="D5" i="7" l="1"/>
  <c r="D6" i="7"/>
  <c r="D21" i="7" l="1"/>
  <c r="D20" i="7"/>
  <c r="D19" i="7"/>
  <c r="D18" i="7"/>
  <c r="D17" i="7"/>
  <c r="D16" i="7"/>
  <c r="D15" i="7"/>
  <c r="D14" i="7"/>
  <c r="D13" i="7"/>
  <c r="D12" i="7"/>
  <c r="D11" i="7"/>
  <c r="D8" i="7"/>
  <c r="D7" i="7"/>
  <c r="D4" i="7"/>
  <c r="D3" i="7"/>
  <c r="D3" i="2" l="1"/>
  <c r="D4" i="2"/>
  <c r="D7" i="2"/>
  <c r="D8" i="2"/>
  <c r="D10" i="2"/>
  <c r="D11" i="2"/>
  <c r="D12" i="2"/>
  <c r="D13" i="2"/>
  <c r="D14" i="2"/>
  <c r="D15" i="2"/>
  <c r="D16" i="2"/>
  <c r="D17" i="2"/>
  <c r="D18" i="2"/>
  <c r="D19" i="2"/>
  <c r="D20" i="2"/>
  <c r="D21" i="2"/>
  <c r="D9" i="2" l="1"/>
  <c r="E6" i="3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2" i="1"/>
</calcChain>
</file>

<file path=xl/sharedStrings.xml><?xml version="1.0" encoding="utf-8"?>
<sst xmlns="http://schemas.openxmlformats.org/spreadsheetml/2006/main" count="750" uniqueCount="430">
  <si>
    <t>ÜRÜN</t>
  </si>
  <si>
    <t>ADET</t>
  </si>
  <si>
    <t>BİRİM FİYAT</t>
  </si>
  <si>
    <t>TOPLAM</t>
  </si>
  <si>
    <t>BAKİYE</t>
  </si>
  <si>
    <t>ÖDENEN TUTAR</t>
  </si>
  <si>
    <t>KALAN TUTAR</t>
  </si>
  <si>
    <t>03.12.2022 (DEPODAN TESLİM EDİLDİ)</t>
  </si>
  <si>
    <t>ŞEFFAF SARAY VAZO</t>
  </si>
  <si>
    <t>09.12.2022 (DEPODAN TESLİM EDİLECEK)</t>
  </si>
  <si>
    <t>SİYAH AHŞAP NAPOLYON SANDALYE</t>
  </si>
  <si>
    <t>PLEKSİ NİKAH KÜRSÜSÜ</t>
  </si>
  <si>
    <t>21.12.2022 (DEPODAN TESLİM EDİLDİ)</t>
  </si>
  <si>
    <t>MADALYON SANDALYE</t>
  </si>
  <si>
    <t>ALINAN ÜRÜN</t>
  </si>
  <si>
    <t xml:space="preserve">NAKLİYE </t>
  </si>
  <si>
    <t xml:space="preserve">BRİM FİYAT </t>
  </si>
  <si>
    <t>VOGUE SANDALYE</t>
  </si>
  <si>
    <t>BEYAZ LAKE MASA AYNALI</t>
  </si>
  <si>
    <t>PLEXİ NİKAH KÜRSÜSÜ</t>
  </si>
  <si>
    <t>KONİK VAZO</t>
  </si>
  <si>
    <t xml:space="preserve">KRİSTAL VAZO </t>
  </si>
  <si>
    <t>13570 / 13.500</t>
  </si>
  <si>
    <t>30.04.2023 DEPODAN TESLİM EDİLECEK</t>
  </si>
  <si>
    <t>BEYAZ LAKE MASA 2X1 AYNALI</t>
  </si>
  <si>
    <t>BONCUK CAM SUPLA</t>
  </si>
  <si>
    <t>6 GEN GÜMÜŞ SUPLA</t>
  </si>
  <si>
    <t>BEYAZ LAKE YUVARLAK BİSTRO</t>
  </si>
  <si>
    <t>BEYAZ MİNDERLİ TIFFANY</t>
  </si>
  <si>
    <t>4 NAKLİYE PARASI</t>
  </si>
  <si>
    <t>05.05.2023 DEPODAN TESLİM</t>
  </si>
  <si>
    <t>LAKE BİSTRO</t>
  </si>
  <si>
    <t>TRANSİT İLE GÖTÜRÜLDÜ</t>
  </si>
  <si>
    <t>10.000 ÖDENDİ KALAN 2.530</t>
  </si>
  <si>
    <t>20.05.2023 NAKLİYE İLE GÖNDERİLİCEK</t>
  </si>
  <si>
    <t>2 GİDİŞ 2 DÖNÜŞ NAKLİYE</t>
  </si>
  <si>
    <t xml:space="preserve">SİYAH DİKDÖRTGEN LAKE MASA AYNALI </t>
  </si>
  <si>
    <t>AYNA 50X50 48 ADET</t>
  </si>
  <si>
    <t xml:space="preserve">SİYAH NAPOLYON AHŞAP </t>
  </si>
  <si>
    <t>17 KOLLU GÜMÜŞ ŞAMDAN</t>
  </si>
  <si>
    <t>KRİSTAL LUX VAZO</t>
  </si>
  <si>
    <t>ALTIGEN GÜMÜŞ SUPLA</t>
  </si>
  <si>
    <t xml:space="preserve">BİRİM FİYAT </t>
  </si>
  <si>
    <t>ÜRÜN ADI</t>
  </si>
  <si>
    <t>BEYAZ LAKE MASA</t>
  </si>
  <si>
    <t>BEYAZ MASA ÖRTÜSÜ</t>
  </si>
  <si>
    <t>ABAJUR</t>
  </si>
  <si>
    <t>10.06.2023 SHERATON HAVUZ BAŞI</t>
  </si>
  <si>
    <t>10.06.2023 SHERATON SALON</t>
  </si>
  <si>
    <t>SİYAH NAPOLYON SANDALYE</t>
  </si>
  <si>
    <t>SARAY VAZO</t>
  </si>
  <si>
    <t>GÜMÜŞ SUPLA</t>
  </si>
  <si>
    <t>VOUGE SANDALYE</t>
  </si>
  <si>
    <t>1X1 BEYAZ DEKOR SÜTUN</t>
  </si>
  <si>
    <t>VOUGE PLEXİ SANDALYE</t>
  </si>
  <si>
    <t>BONCUK SUPLA</t>
  </si>
  <si>
    <t>SİYAH PİLLİ MUM</t>
  </si>
  <si>
    <t>BEYAZ YUVARLAK LAKE BİSTRO</t>
  </si>
  <si>
    <t>BEYAZ DİKDÖRTGEN LAKE BİSTRO MASA 75X140</t>
  </si>
  <si>
    <t>BEYAZ DİKDÖRTGEN BEYAZ LAKE MASA</t>
  </si>
  <si>
    <t>BEYAZ LED MUM</t>
  </si>
  <si>
    <t>PİL</t>
  </si>
  <si>
    <t>BEYAZ BÜYÜK SÜTUN</t>
  </si>
  <si>
    <t>2 NAKLİYE</t>
  </si>
  <si>
    <t>PLEKSİ MASA</t>
  </si>
  <si>
    <t>400 (NAKLİYE)+400(NAKİYE</t>
  </si>
  <si>
    <t>400 (NAKLİYE) 1 NAKLİYE</t>
  </si>
  <si>
    <t>21.06.2023 NAKLİYE BİZE AİT</t>
  </si>
  <si>
    <t>YUVARLAK BEYAZ LAKE</t>
  </si>
  <si>
    <t>DİKDÖRTGEN LAKE LONGTABLE</t>
  </si>
  <si>
    <t>BEYAZ SÜTUN BÜYÜK</t>
  </si>
  <si>
    <t>BEYAZ SÜTUN KÜÇÜK</t>
  </si>
  <si>
    <t>BEYAZ NİKAH KÜRSÜSÜ</t>
  </si>
  <si>
    <t>NAKLİYE GİDİŞ-GELİŞ</t>
  </si>
  <si>
    <t xml:space="preserve">5 ADET 70X140 LONG TABLE BOYAMA </t>
  </si>
  <si>
    <t>1 ADET VOGUE SANDALYE</t>
  </si>
  <si>
    <t>04.07.2023 DEPODAN TESLİM</t>
  </si>
  <si>
    <t>SİYAH TIFFANY SANDALYE</t>
  </si>
  <si>
    <t>14.07.2023 DEPODAN TESLİM</t>
  </si>
  <si>
    <t>5 KOLLU ŞAMDAN</t>
  </si>
  <si>
    <t>ŞEFFAF VOGUE SANDALYE</t>
  </si>
  <si>
    <t>SİLİFKE NAKLİYE</t>
  </si>
  <si>
    <t>BEYAZ TIFFANY SANDALYE</t>
  </si>
  <si>
    <t>400(nakliye)+400(nakliye)</t>
  </si>
  <si>
    <t>2ADET VOGUE ZAYİ</t>
  </si>
  <si>
    <t>CAM BONCUK SUPLA</t>
  </si>
  <si>
    <t>PLASTİK BONCUK SUPLA</t>
  </si>
  <si>
    <t>BEYAZ LAKE BİSTRO</t>
  </si>
  <si>
    <t>GAZEBO</t>
  </si>
  <si>
    <t>ALTIGEN SUPLA</t>
  </si>
  <si>
    <t>GÜMÜŞ ŞAMDAN</t>
  </si>
  <si>
    <t>SİYAH LED MUM</t>
  </si>
  <si>
    <t>YUVARLAK GAZEBO</t>
  </si>
  <si>
    <t>1X1 DEKOR SÜTUN</t>
  </si>
  <si>
    <t>AYNALI SİYAH MASA</t>
  </si>
  <si>
    <t xml:space="preserve">GÜMÜŞ ŞAMDAN </t>
  </si>
  <si>
    <t>SİYAH LED MUM PİLLİ</t>
  </si>
  <si>
    <t>LED PİLLİ MUM</t>
  </si>
  <si>
    <t>ÇAPRAZ ÇİÇEKLİK</t>
  </si>
  <si>
    <t>6GEN GÜMÜŞ SUPLA</t>
  </si>
  <si>
    <t>17 KOLLU ŞAMDAN</t>
  </si>
  <si>
    <t>VINTAGE VAZO</t>
  </si>
  <si>
    <t>LED MUM</t>
  </si>
  <si>
    <t>ŞEFFAF NİKAH KÜRSÜSÜ</t>
  </si>
  <si>
    <t>SEMAVER</t>
  </si>
  <si>
    <t>YUVARLAK BEYAZ LAKE BİSTRO</t>
  </si>
  <si>
    <t>DİKDÖRTGEN LAKE LONG TABLE</t>
  </si>
  <si>
    <t>TABAK</t>
  </si>
  <si>
    <t>ÇATAL</t>
  </si>
  <si>
    <t>BIÇAK</t>
  </si>
  <si>
    <t>TATLI TABAĞI</t>
  </si>
  <si>
    <t>ŞARAP BARDAĞI</t>
  </si>
  <si>
    <t>RAKI BARDAĞI</t>
  </si>
  <si>
    <t>KOKTEYL BARDAĞI</t>
  </si>
  <si>
    <t>SERVİS TEPSİSİ</t>
  </si>
  <si>
    <t>BUZ KOVASI</t>
  </si>
  <si>
    <t>KÜL TABLASI</t>
  </si>
  <si>
    <t>KATLI SUNUMLUK</t>
  </si>
  <si>
    <t>CAM SUNUMLUK</t>
  </si>
  <si>
    <t>AYNA SUNUMLUK</t>
  </si>
  <si>
    <t xml:space="preserve">PEÇETELİK </t>
  </si>
  <si>
    <t>AYNA YÜKSELTİ</t>
  </si>
  <si>
    <t>BONCUK SUPLA CAM</t>
  </si>
  <si>
    <t>6GEN SUPLA</t>
  </si>
  <si>
    <t>75X140 BEYAZ LAKE MASA</t>
  </si>
  <si>
    <t>BEYAZ YUVARLAK BİSTRO</t>
  </si>
  <si>
    <t>BAR TABURESİ SIRTLIKSIZ</t>
  </si>
  <si>
    <t>ŞERBETLİK</t>
  </si>
  <si>
    <t xml:space="preserve">YUVARLAK BİSTRO </t>
  </si>
  <si>
    <t>BEYAZ LONG TABLE</t>
  </si>
  <si>
    <t>KIRIK SARAY VAZO 06.10.2023</t>
  </si>
  <si>
    <t xml:space="preserve"> </t>
  </si>
  <si>
    <t>TABURE</t>
  </si>
  <si>
    <t>SEMQAVER</t>
  </si>
  <si>
    <t>ÇAPRAZ GÜL VAZO</t>
  </si>
  <si>
    <t>DİKDÖRTGEN LAKE BİSTRO</t>
  </si>
  <si>
    <t>MAVİ SEHPA</t>
  </si>
  <si>
    <t>KISA AYAK MAVİ MASA</t>
  </si>
  <si>
    <t>HEDİYE</t>
  </si>
  <si>
    <t>NAPOLYON SANDALYE</t>
  </si>
  <si>
    <t>NAKLİYE</t>
  </si>
  <si>
    <t>PEMBE LAKE MASA</t>
  </si>
  <si>
    <t>YUVARLAK METAL SUPLA</t>
  </si>
  <si>
    <t>SİYAH MASA ÖRTÜSÜ</t>
  </si>
  <si>
    <t>ŞAPKALI MUMLUK</t>
  </si>
  <si>
    <t>HAZERAN SANDALYE</t>
  </si>
  <si>
    <t xml:space="preserve">LAKE CEVİZ MASA </t>
  </si>
  <si>
    <t>SİYAH LAKE MASA</t>
  </si>
  <si>
    <t>YEMEK TABAĞI</t>
  </si>
  <si>
    <t>YEMEK ÇATALI</t>
  </si>
  <si>
    <t>YEMEK BIÇAĞI</t>
  </si>
  <si>
    <t>MEŞRUBAT-KADEH BARDAK</t>
  </si>
  <si>
    <t>KAYIK TABAK</t>
  </si>
  <si>
    <t>PORSELEN PEÇETELİK</t>
  </si>
  <si>
    <t xml:space="preserve">  CAM BONCUK SUPLA</t>
  </si>
  <si>
    <t>KISA AYAKLI MASA</t>
  </si>
  <si>
    <t>SİYAH TİFFANY</t>
  </si>
  <si>
    <t>CAM ÇAPRAZ ÇİÇEKLİK</t>
  </si>
  <si>
    <t>YUVARLAK LAKE BİSTRO</t>
  </si>
  <si>
    <t>AYNALI LAKE MASA</t>
  </si>
  <si>
    <t>BİSTRO LAKE BEYAZ</t>
  </si>
  <si>
    <t>SİYAH TIFFANY</t>
  </si>
  <si>
    <t>YUVARLAK GÜMÜŞ SUPLA</t>
  </si>
  <si>
    <t>DEKOR SÜTUN</t>
  </si>
  <si>
    <t>NİKAH KÜRSÜSÜ</t>
  </si>
  <si>
    <t>BORU MUMLUK</t>
  </si>
  <si>
    <t>KRİSTAL ŞEKERLİK</t>
  </si>
  <si>
    <t>BÜYÜK BOY SÜTUN</t>
  </si>
  <si>
    <t>BEYAZ SÜTUN B</t>
  </si>
  <si>
    <t>BEYAZ SĞTUN K</t>
  </si>
  <si>
    <t>BÜYÜK BOY BEYAZ SÜTUN</t>
  </si>
  <si>
    <t>KÜÇÜK BOY BEYAZ SÜTUN</t>
  </si>
  <si>
    <t>LAKE MOCHA MASA</t>
  </si>
  <si>
    <t>BEYAZ DEKOR SÜTUN</t>
  </si>
  <si>
    <t>GOLD DEMİR</t>
  </si>
  <si>
    <t>BEYAZ BİSTRO MASA</t>
  </si>
  <si>
    <t>BEYAZ FİSKOS SEHPA</t>
  </si>
  <si>
    <t>PEMBE FİSKOSN SEHPA</t>
  </si>
  <si>
    <t>SIRTLIKLI PUF</t>
  </si>
  <si>
    <t xml:space="preserve">SİYAH LAKE MASA </t>
  </si>
  <si>
    <t>AHŞAP CEVİZ LAKE MASA</t>
  </si>
  <si>
    <t>MAVİ ÇOCUK MASASI</t>
  </si>
  <si>
    <t>AHŞAP HAZERAN</t>
  </si>
  <si>
    <t>beyaz lake bistro</t>
  </si>
  <si>
    <t xml:space="preserve"> madalyon sandalye</t>
  </si>
  <si>
    <t>KREM LAKE MASA</t>
  </si>
  <si>
    <t>LONG TABLE</t>
  </si>
  <si>
    <t xml:space="preserve">LAKE BİSTRO MASA </t>
  </si>
  <si>
    <t>LED MUM PİLSİZ</t>
  </si>
  <si>
    <t>30000 ÖDENDİ</t>
  </si>
  <si>
    <t>siyah tiffany sandalye</t>
  </si>
  <si>
    <t>madalyon sandalye</t>
  </si>
  <si>
    <t>beyaz yuvarlak lake bistro masa</t>
  </si>
  <si>
    <t>şeffaf vouge sandalye</t>
  </si>
  <si>
    <t>kapitone koltuk</t>
  </si>
  <si>
    <t>beyaz sehpa</t>
  </si>
  <si>
    <t>ceviz long table</t>
  </si>
  <si>
    <t>hazeran sandalye</t>
  </si>
  <si>
    <t>mocha nikah kürsüsü</t>
  </si>
  <si>
    <t>beyaz masa</t>
  </si>
  <si>
    <t>şerbetlik</t>
  </si>
  <si>
    <t>GÜNCEL 20.11.2024 İTİBARİYLE son bakiye</t>
  </si>
  <si>
    <t>siyah dekor sütun 1x1</t>
  </si>
  <si>
    <t xml:space="preserve"> büyük siyah  sütunn</t>
  </si>
  <si>
    <t>vouge sandalye</t>
  </si>
  <si>
    <t>yuvarlak gümüş supla</t>
  </si>
  <si>
    <t xml:space="preserve"> parça bar </t>
  </si>
  <si>
    <t xml:space="preserve">  beyaz fiskos sehpa</t>
  </si>
  <si>
    <t xml:space="preserve">  şerbetlik </t>
  </si>
  <si>
    <t>VOUGE</t>
  </si>
  <si>
    <t>HAZERAN</t>
  </si>
  <si>
    <t>ESKİTME SEHPA</t>
  </si>
  <si>
    <t xml:space="preserve">SİYAH TİFFANY </t>
  </si>
  <si>
    <t>2/1 MOCHA MASA</t>
  </si>
  <si>
    <t xml:space="preserve"> 7000 NAKLİYE </t>
  </si>
  <si>
    <t>15..12.2024</t>
  </si>
  <si>
    <t>60.000 ÖDEME ALINDI</t>
  </si>
  <si>
    <t>kare eskitme dekor kapı</t>
  </si>
  <si>
    <t>3lü</t>
  </si>
  <si>
    <t>50.000 ÖDEME ALINDI</t>
  </si>
  <si>
    <t>3 PARÇA BAR</t>
  </si>
  <si>
    <t>ALTIGEN SUPLA GÜMÜŞ</t>
  </si>
  <si>
    <t>SİYAH NİKAH KÜRSÜSÜ</t>
  </si>
  <si>
    <t>NAKLİYE ÜCRETİ</t>
  </si>
  <si>
    <t>PERSONEL ÜCRETİ</t>
  </si>
  <si>
    <t>MOCHA NİKAH KÜRSÜSÜ</t>
  </si>
  <si>
    <t>BÜYÜK YUVARLAK GAZEBO DEMİRİ</t>
  </si>
  <si>
    <t>TEKLİ KRİSTAL MUMLUK</t>
  </si>
  <si>
    <t>SİYAH AYNALI LAKE MASA</t>
  </si>
  <si>
    <t>40.000 ÖDEME ALINDI</t>
  </si>
  <si>
    <t>MİNİ SİYAH LOCA KOLTUK</t>
  </si>
  <si>
    <t>100.000 ÖDEME ALINDI</t>
  </si>
  <si>
    <t xml:space="preserve">VOUGE SANDALYE </t>
  </si>
  <si>
    <t xml:space="preserve">ALTIGEN SUPLA </t>
  </si>
  <si>
    <t xml:space="preserve">17 KOLLU ŞAMDAN </t>
  </si>
  <si>
    <t>PERS ÜCRETİ</t>
  </si>
  <si>
    <t>MOCHA MASA</t>
  </si>
  <si>
    <t>29.02.2025</t>
  </si>
  <si>
    <t>70.000 ÖDEME ALINDI</t>
  </si>
  <si>
    <t>mocha masa</t>
  </si>
  <si>
    <t>nakliye</t>
  </si>
  <si>
    <t>siyah tıffany</t>
  </si>
  <si>
    <t>3*3 büyük yuvarlak gazebo</t>
  </si>
  <si>
    <t>mini sırtlıklı koltuk</t>
  </si>
  <si>
    <t>beyaz tıffany sandalye</t>
  </si>
  <si>
    <t>katlanır bisıtro</t>
  </si>
  <si>
    <t>beyaz long table masa</t>
  </si>
  <si>
    <t>personel</t>
  </si>
  <si>
    <t>vouge</t>
  </si>
  <si>
    <t>normal boy avize yeni gelen</t>
  </si>
  <si>
    <t>siyah lake masa</t>
  </si>
  <si>
    <t>beyaz lake bıstro</t>
  </si>
  <si>
    <t>long table masa</t>
  </si>
  <si>
    <t>lake beyaz masa 1/2</t>
  </si>
  <si>
    <t>orta boy avize</t>
  </si>
  <si>
    <t>büyük boy avize</t>
  </si>
  <si>
    <t>büyük avize</t>
  </si>
  <si>
    <t>mocha lake masa</t>
  </si>
  <si>
    <t>boncuk supla</t>
  </si>
  <si>
    <t>altıgen supla</t>
  </si>
  <si>
    <t>lake masa 1/2</t>
  </si>
  <si>
    <t>1*1 dekor sütun</t>
  </si>
  <si>
    <t>bar taburesi beyaz</t>
  </si>
  <si>
    <t>avize kurulum ve elektrik tesisatı</t>
  </si>
  <si>
    <t>lake bıstro</t>
  </si>
  <si>
    <t xml:space="preserve">nakliye </t>
  </si>
  <si>
    <t>75/140 sehba beyaz</t>
  </si>
  <si>
    <t>katlanabilir bistro</t>
  </si>
  <si>
    <t>12.00</t>
  </si>
  <si>
    <t>KIRIK KAPİTONE</t>
  </si>
  <si>
    <t>200.000 ÖDEME ALINDI</t>
  </si>
  <si>
    <t xml:space="preserve">4 adet orta boy avize </t>
  </si>
  <si>
    <t>1 büyük boy avize</t>
  </si>
  <si>
    <t xml:space="preserve">KURULUM MONTAJ DAHİL </t>
  </si>
  <si>
    <t>MOCHA 2/1 MASA</t>
  </si>
  <si>
    <t xml:space="preserve">6 adet </t>
  </si>
  <si>
    <t xml:space="preserve"> hazeran sandalye </t>
  </si>
  <si>
    <t xml:space="preserve"> vegue sandalye </t>
  </si>
  <si>
    <t xml:space="preserve">2/1 lake masa aynalı </t>
  </si>
  <si>
    <t>yuvarlak gazebo</t>
  </si>
  <si>
    <t xml:space="preserve">büyük boy avize </t>
  </si>
  <si>
    <t xml:space="preserve"> orta boy avize </t>
  </si>
  <si>
    <t xml:space="preserve">aynalı nikah kürsüsü </t>
  </si>
  <si>
    <t xml:space="preserve"> yuvarlak supla </t>
  </si>
  <si>
    <t>Sigorta</t>
  </si>
  <si>
    <t xml:space="preserve">Nakliye </t>
  </si>
  <si>
    <t xml:space="preserve">Personel..kur topla </t>
  </si>
  <si>
    <t>Avize ve gazebo kurulum</t>
  </si>
  <si>
    <t xml:space="preserve"> 1/1 dekor sütün </t>
  </si>
  <si>
    <t>TIFFANY SANDALYE</t>
  </si>
  <si>
    <t xml:space="preserve"> mocha nikah kürsüsü </t>
  </si>
  <si>
    <t>Nakliye.</t>
  </si>
  <si>
    <t>Personel kur topla personel</t>
  </si>
  <si>
    <t>Mersin nakliye</t>
  </si>
  <si>
    <t>mocha hazeran sandalye</t>
  </si>
  <si>
    <t xml:space="preserve"> boncuk supla </t>
  </si>
  <si>
    <t>200.000 NAKİT ödeme alındı</t>
  </si>
  <si>
    <t>100.000 ödeme alındı nakit</t>
  </si>
  <si>
    <t>PERSONEL</t>
  </si>
  <si>
    <t>Boya ÜCRETİ</t>
  </si>
  <si>
    <t xml:space="preserve">1/1 dekor sütün </t>
  </si>
  <si>
    <t>yuvarlak lake bistro masa</t>
  </si>
  <si>
    <t xml:space="preserve">vogue sandalye </t>
  </si>
  <si>
    <t xml:space="preserve">boncuk supla </t>
  </si>
  <si>
    <t xml:space="preserve"> 2/1 moka dekor sütun </t>
  </si>
  <si>
    <t xml:space="preserve"> puf </t>
  </si>
  <si>
    <t xml:space="preserve">sırtlıklı mini koltuk </t>
  </si>
  <si>
    <t>beyaz tiffany sandalye</t>
  </si>
  <si>
    <t>Nakliye ve kurulum bize aittir</t>
  </si>
  <si>
    <t xml:space="preserve"> siyah long tebil masa </t>
  </si>
  <si>
    <t xml:space="preserve">siyah sehpa </t>
  </si>
  <si>
    <t xml:space="preserve"> loca koltuk </t>
  </si>
  <si>
    <t xml:space="preserve"> siyah puf </t>
  </si>
  <si>
    <t xml:space="preserve">siyah lake bistro </t>
  </si>
  <si>
    <t xml:space="preserve"> büyük siyah sütun </t>
  </si>
  <si>
    <t xml:space="preserve"> küçük siyah sütün</t>
  </si>
  <si>
    <t>nikah kürsüsü</t>
  </si>
  <si>
    <t xml:space="preserve"> vogue sandalye </t>
  </si>
  <si>
    <t xml:space="preserve"> siyah küçük sütun </t>
  </si>
  <si>
    <t>avize askılıgı</t>
  </si>
  <si>
    <t>şerbetlik arabası boyandı</t>
  </si>
  <si>
    <t xml:space="preserve"> kapitane koltuk </t>
  </si>
  <si>
    <t xml:space="preserve"> 75/140 sehpa </t>
  </si>
  <si>
    <t xml:space="preserve"> 1/1 dekor sütun </t>
  </si>
  <si>
    <t>c koltuk</t>
  </si>
  <si>
    <t>dikdörtgen vizon lake masa</t>
  </si>
  <si>
    <t>avize orta boy yeni</t>
  </si>
  <si>
    <t>1*1 dekor sütun beyaz</t>
  </si>
  <si>
    <t>sigorta</t>
  </si>
  <si>
    <t>avize montajı</t>
  </si>
  <si>
    <t>50.000 tl tüm org</t>
  </si>
  <si>
    <t>ceviz lake masa</t>
  </si>
  <si>
    <t>vizon puf</t>
  </si>
  <si>
    <t>ceviz renk sehpa</t>
  </si>
  <si>
    <t>2 kisilik vizon koltuk</t>
  </si>
  <si>
    <t xml:space="preserve"> long tqble ceviz</t>
  </si>
  <si>
    <t>yuvarlak ceviz bıstro</t>
  </si>
  <si>
    <t xml:space="preserve"> long tabel masa </t>
  </si>
  <si>
    <t xml:space="preserve">siyah lake bistro masa </t>
  </si>
  <si>
    <t>lake masa mocha</t>
  </si>
  <si>
    <t>BEYAZ TIFFANY</t>
  </si>
  <si>
    <t>2X1 MAVİ MASA</t>
  </si>
  <si>
    <t>LOCA KOLTUK</t>
  </si>
  <si>
    <t>C KOLTUK</t>
  </si>
  <si>
    <t>KUBBELİ LOCA KOLTUK</t>
  </si>
  <si>
    <t>ORTA BOY AVİZE</t>
  </si>
  <si>
    <t>KÜÇÜK MOCHA SÜTUN</t>
  </si>
  <si>
    <t>BÜYÜK MOCHA SÜTUN</t>
  </si>
  <si>
    <t>1/1 MOCHA SÜTUN</t>
  </si>
  <si>
    <t>MOCHA FİSKOS SEHPA</t>
  </si>
  <si>
    <t>KÜÇÜK  BOY GOLD 5 KOLLU ŞAMDAN</t>
  </si>
  <si>
    <t>ALTI GOLD ÜSTÜ CAM VAZO</t>
  </si>
  <si>
    <t>BÜYÜK DANTALLİ GOLD MUMLUK</t>
  </si>
  <si>
    <t>GOLD DANTEL FENER</t>
  </si>
  <si>
    <t>BAKIR AYAKLI FANUS</t>
  </si>
  <si>
    <t>SUPA GÜMÜŞ ALTIGEN</t>
  </si>
  <si>
    <t>75.000 ÖDEME ALINDI</t>
  </si>
  <si>
    <t>81.000  ÖDEME ALINDI</t>
  </si>
  <si>
    <t xml:space="preserve"> beyaz lake masa </t>
  </si>
  <si>
    <t xml:space="preserve"> beyaz tifani sandalye</t>
  </si>
  <si>
    <t xml:space="preserve"> beyaz hezaren sandalye</t>
  </si>
  <si>
    <t xml:space="preserve"> hazeran moca sandalye </t>
  </si>
  <si>
    <t>Personel ve nakliye bize ait</t>
  </si>
  <si>
    <t xml:space="preserve"> vougue sandalye </t>
  </si>
  <si>
    <t xml:space="preserve"> mocha lake masa</t>
  </si>
  <si>
    <t xml:space="preserve"> 75/140 sehpa mocha</t>
  </si>
  <si>
    <t xml:space="preserve">kapitone koltuk </t>
  </si>
  <si>
    <t xml:space="preserve">c koltuk </t>
  </si>
  <si>
    <t xml:space="preserve">kubbeli koltuk </t>
  </si>
  <si>
    <t xml:space="preserve">bar taburesi </t>
  </si>
  <si>
    <t xml:space="preserve">long tabel masa </t>
  </si>
  <si>
    <t xml:space="preserve"> aynalı sehpa </t>
  </si>
  <si>
    <t xml:space="preserve"> lake bistro masa </t>
  </si>
  <si>
    <t xml:space="preserve">nikah kürsüsü </t>
  </si>
  <si>
    <t xml:space="preserve">Napolyon sandalye </t>
  </si>
  <si>
    <t>boya parası</t>
  </si>
  <si>
    <t xml:space="preserve"> siyah hazeran sandalye </t>
  </si>
  <si>
    <t xml:space="preserve">avize kurulum montaj dahil </t>
  </si>
  <si>
    <t>küçük sütün</t>
  </si>
  <si>
    <t xml:space="preserve">büyük sütün </t>
  </si>
  <si>
    <t xml:space="preserve"> altı gen supla</t>
  </si>
  <si>
    <t xml:space="preserve">17 kollu gümüş şamdan </t>
  </si>
  <si>
    <t>avize Orta boy</t>
  </si>
  <si>
    <t xml:space="preserve">büyük boy </t>
  </si>
  <si>
    <t xml:space="preserve"> nikah kürsüsü </t>
  </si>
  <si>
    <t>Nakliye 18 servis</t>
  </si>
  <si>
    <t>Personel. 4 kişi</t>
  </si>
  <si>
    <t xml:space="preserve"> beyaz LED mum</t>
  </si>
  <si>
    <t xml:space="preserve"> şamdan 17 kollu gümüş şamdan </t>
  </si>
  <si>
    <t xml:space="preserve">t altı gen supla </t>
  </si>
  <si>
    <t>100.000 ödeme alındı</t>
  </si>
  <si>
    <t>03.10.2025,</t>
  </si>
  <si>
    <t>80.000 ödeme alındı</t>
  </si>
  <si>
    <t xml:space="preserve">siyah long tabel masa </t>
  </si>
  <si>
    <t xml:space="preserve"> küçük sütun </t>
  </si>
  <si>
    <t xml:space="preserve">büyük sütun </t>
  </si>
  <si>
    <t>1/1 dekor sütun 2 GÜNLÜK YAZILACAK KİRA</t>
  </si>
  <si>
    <t xml:space="preserve">katlanabilir bistro </t>
  </si>
  <si>
    <t>plastik masa</t>
  </si>
  <si>
    <t xml:space="preserve"> siyah masa örtüsü </t>
  </si>
  <si>
    <t xml:space="preserve">küçük sütun </t>
  </si>
  <si>
    <t>antrasit loca koltuk</t>
  </si>
  <si>
    <t>aynalı sehpa</t>
  </si>
  <si>
    <t xml:space="preserve"> personel </t>
  </si>
  <si>
    <t xml:space="preserve"> 2/1 lake masa </t>
  </si>
  <si>
    <t>kurulum</t>
  </si>
  <si>
    <t>kadeh bardak</t>
  </si>
  <si>
    <t xml:space="preserve"> tatlı çatalı </t>
  </si>
  <si>
    <t xml:space="preserve">yemek kaşığı </t>
  </si>
  <si>
    <t xml:space="preserve">yemek bıçağı </t>
  </si>
  <si>
    <t xml:space="preserve"> yamek çatalı </t>
  </si>
  <si>
    <t xml:space="preserve"> çorba kasesi </t>
  </si>
  <si>
    <t xml:space="preserve"> pasta tabağı </t>
  </si>
  <si>
    <t xml:space="preserve"> servis tabağı </t>
  </si>
  <si>
    <t xml:space="preserve"> beyaz tifani sandalye </t>
  </si>
  <si>
    <t xml:space="preserve"> ahşap Napolyon sandalye </t>
  </si>
  <si>
    <t xml:space="preserve">beyaz hazeran sandalye </t>
  </si>
  <si>
    <t xml:space="preserve">moca hazeran sandalye </t>
  </si>
  <si>
    <t>avize (kurulum elektrik tesisatı dahil)</t>
  </si>
  <si>
    <t>boncukk supla</t>
  </si>
  <si>
    <t>gümüş altıgen supla</t>
  </si>
  <si>
    <t>150.000 ödeme alındı</t>
  </si>
  <si>
    <t>10.000 ÖDEME ALINDI</t>
  </si>
  <si>
    <t xml:space="preserve">FUAR ALANI İŞİNDEN </t>
  </si>
  <si>
    <t>20.000 TL İNDİRİM YAPILDI</t>
  </si>
  <si>
    <t>beyaz led mum</t>
  </si>
  <si>
    <t>küçük boy sütun</t>
  </si>
  <si>
    <t>büyük boy mocha sütun</t>
  </si>
  <si>
    <t>2/1 lake masa</t>
  </si>
  <si>
    <t>27.10.2025 İTİBARİYLE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</si>
</sst>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C11" sqref="C11"/>
    </sheetView>
  </sheetViews>
  <sheetFormatPr defaultColWidth="9.109375" defaultRowHeight="19.5" customHeight="1" x14ac:dyDescent="0.3"/>
  <cols>
    <col min="1" max="1" width="42.44140625" style="3" customWidth="1"/>
    <col min="2" max="2" width="9.109375" style="3"/>
    <col min="3" max="3" width="15.88671875" style="3" customWidth="1"/>
    <col min="4" max="4" width="16.44140625" style="3" customWidth="1"/>
    <col min="5" max="16384" width="9.109375" style="3"/>
  </cols>
  <sheetData>
    <row r="1" spans="1:4" s="4" customFormat="1" ht="19.5" customHeigh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19.5" customHeight="1" x14ac:dyDescent="0.3">
      <c r="A2" s="5" t="s">
        <v>7</v>
      </c>
      <c r="D2" s="3">
        <f>B:B*C:C</f>
        <v>0</v>
      </c>
    </row>
    <row r="3" spans="1:4" ht="19.5" customHeight="1" x14ac:dyDescent="0.3">
      <c r="A3" s="3" t="s">
        <v>8</v>
      </c>
      <c r="B3" s="3">
        <v>4</v>
      </c>
      <c r="C3" s="3">
        <v>75</v>
      </c>
      <c r="D3" s="3">
        <f t="shared" ref="D3:D29" si="0">B:B*C:C</f>
        <v>300</v>
      </c>
    </row>
    <row r="4" spans="1:4" ht="19.5" customHeight="1" x14ac:dyDescent="0.3">
      <c r="D4" s="3">
        <f t="shared" si="0"/>
        <v>0</v>
      </c>
    </row>
    <row r="5" spans="1:4" ht="19.5" customHeight="1" x14ac:dyDescent="0.3">
      <c r="A5" s="5" t="s">
        <v>9</v>
      </c>
      <c r="D5" s="3">
        <f t="shared" si="0"/>
        <v>0</v>
      </c>
    </row>
    <row r="6" spans="1:4" ht="19.5" customHeight="1" x14ac:dyDescent="0.3">
      <c r="A6" s="3" t="s">
        <v>10</v>
      </c>
      <c r="B6" s="3">
        <v>86</v>
      </c>
      <c r="C6" s="3">
        <v>25</v>
      </c>
      <c r="D6" s="3">
        <f t="shared" si="0"/>
        <v>2150</v>
      </c>
    </row>
    <row r="7" spans="1:4" ht="19.5" customHeight="1" x14ac:dyDescent="0.3">
      <c r="A7" s="3" t="s">
        <v>11</v>
      </c>
      <c r="B7" s="3">
        <v>1</v>
      </c>
      <c r="C7" s="3">
        <v>250</v>
      </c>
      <c r="D7" s="3">
        <f t="shared" si="0"/>
        <v>250</v>
      </c>
    </row>
    <row r="8" spans="1:4" ht="19.5" customHeight="1" x14ac:dyDescent="0.3">
      <c r="D8" s="3">
        <f t="shared" si="0"/>
        <v>0</v>
      </c>
    </row>
    <row r="9" spans="1:4" ht="19.5" customHeight="1" x14ac:dyDescent="0.3">
      <c r="A9" s="5" t="s">
        <v>12</v>
      </c>
      <c r="D9" s="3">
        <f t="shared" si="0"/>
        <v>0</v>
      </c>
    </row>
    <row r="10" spans="1:4" ht="19.5" customHeight="1" x14ac:dyDescent="0.3">
      <c r="A10" s="3" t="s">
        <v>13</v>
      </c>
      <c r="B10" s="3">
        <v>2</v>
      </c>
      <c r="C10" s="3">
        <v>35</v>
      </c>
      <c r="D10" s="3">
        <f t="shared" si="0"/>
        <v>70</v>
      </c>
    </row>
    <row r="11" spans="1:4" ht="19.5" customHeight="1" x14ac:dyDescent="0.3">
      <c r="D11" s="3">
        <f t="shared" si="0"/>
        <v>0</v>
      </c>
    </row>
    <row r="12" spans="1:4" ht="19.5" customHeight="1" x14ac:dyDescent="0.3">
      <c r="D12" s="3">
        <f t="shared" si="0"/>
        <v>0</v>
      </c>
    </row>
    <row r="13" spans="1:4" ht="19.5" customHeight="1" x14ac:dyDescent="0.3">
      <c r="D13" s="3">
        <f t="shared" si="0"/>
        <v>0</v>
      </c>
    </row>
    <row r="14" spans="1:4" ht="19.5" customHeight="1" x14ac:dyDescent="0.3">
      <c r="D14" s="3">
        <f t="shared" si="0"/>
        <v>0</v>
      </c>
    </row>
    <row r="15" spans="1:4" ht="19.5" customHeight="1" x14ac:dyDescent="0.3">
      <c r="D15" s="3">
        <f t="shared" si="0"/>
        <v>0</v>
      </c>
    </row>
    <row r="16" spans="1:4" ht="19.5" customHeight="1" x14ac:dyDescent="0.3">
      <c r="D16" s="3">
        <f t="shared" si="0"/>
        <v>0</v>
      </c>
    </row>
    <row r="17" spans="4:4" ht="19.5" customHeight="1" x14ac:dyDescent="0.3">
      <c r="D17" s="3">
        <f t="shared" si="0"/>
        <v>0</v>
      </c>
    </row>
    <row r="18" spans="4:4" ht="19.5" customHeight="1" x14ac:dyDescent="0.3">
      <c r="D18" s="3">
        <f t="shared" si="0"/>
        <v>0</v>
      </c>
    </row>
    <row r="19" spans="4:4" ht="19.5" customHeight="1" x14ac:dyDescent="0.3">
      <c r="D19" s="3">
        <f t="shared" si="0"/>
        <v>0</v>
      </c>
    </row>
    <row r="20" spans="4:4" ht="19.5" customHeight="1" x14ac:dyDescent="0.3">
      <c r="D20" s="3">
        <f t="shared" si="0"/>
        <v>0</v>
      </c>
    </row>
    <row r="21" spans="4:4" ht="19.5" customHeight="1" x14ac:dyDescent="0.3">
      <c r="D21" s="3">
        <f t="shared" si="0"/>
        <v>0</v>
      </c>
    </row>
    <row r="22" spans="4:4" ht="19.5" customHeight="1" x14ac:dyDescent="0.3">
      <c r="D22" s="3">
        <f t="shared" si="0"/>
        <v>0</v>
      </c>
    </row>
    <row r="23" spans="4:4" ht="19.5" customHeight="1" x14ac:dyDescent="0.3">
      <c r="D23" s="3">
        <f t="shared" si="0"/>
        <v>0</v>
      </c>
    </row>
    <row r="24" spans="4:4" ht="19.5" customHeight="1" x14ac:dyDescent="0.3">
      <c r="D24" s="3">
        <f t="shared" si="0"/>
        <v>0</v>
      </c>
    </row>
    <row r="25" spans="4:4" ht="19.5" customHeight="1" x14ac:dyDescent="0.3">
      <c r="D25" s="3">
        <f t="shared" si="0"/>
        <v>0</v>
      </c>
    </row>
    <row r="26" spans="4:4" ht="19.5" customHeight="1" x14ac:dyDescent="0.3">
      <c r="D26" s="3">
        <f t="shared" si="0"/>
        <v>0</v>
      </c>
    </row>
    <row r="27" spans="4:4" ht="19.5" customHeight="1" x14ac:dyDescent="0.3">
      <c r="D27" s="3">
        <f t="shared" si="0"/>
        <v>0</v>
      </c>
    </row>
    <row r="28" spans="4:4" ht="19.5" customHeight="1" x14ac:dyDescent="0.3">
      <c r="D28" s="3">
        <f t="shared" si="0"/>
        <v>0</v>
      </c>
    </row>
    <row r="29" spans="4:4" ht="19.5" customHeight="1" x14ac:dyDescent="0.3">
      <c r="D29" s="3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sqref="A1:XFD1"/>
    </sheetView>
  </sheetViews>
  <sheetFormatPr defaultColWidth="9.109375" defaultRowHeight="23.25" customHeight="1" x14ac:dyDescent="0.3"/>
  <cols>
    <col min="1" max="1" width="46.109375" style="1" customWidth="1"/>
    <col min="2" max="2" width="9.109375" style="1"/>
    <col min="3" max="3" width="26.33203125" style="1" customWidth="1"/>
    <col min="4" max="4" width="16.88671875" style="1" customWidth="1"/>
    <col min="5" max="16384" width="9.109375" style="1"/>
  </cols>
  <sheetData>
    <row r="1" spans="1:4" ht="23.25" customHeight="1" x14ac:dyDescent="0.3">
      <c r="A1" s="7">
        <v>44940</v>
      </c>
      <c r="B1" s="1" t="s">
        <v>1</v>
      </c>
      <c r="C1" s="1" t="s">
        <v>16</v>
      </c>
      <c r="D1" s="1" t="s">
        <v>3</v>
      </c>
    </row>
    <row r="2" spans="1:4" s="2" customFormat="1" ht="23.25" customHeight="1" x14ac:dyDescent="0.3">
      <c r="A2" s="6" t="s">
        <v>15</v>
      </c>
      <c r="B2" s="2">
        <v>2</v>
      </c>
      <c r="C2" s="2">
        <v>250</v>
      </c>
      <c r="D2" s="2">
        <v>500</v>
      </c>
    </row>
    <row r="3" spans="1:4" s="2" customFormat="1" ht="23.25" customHeight="1" x14ac:dyDescent="0.3">
      <c r="A3" s="2" t="s">
        <v>17</v>
      </c>
      <c r="B3" s="2">
        <v>16</v>
      </c>
      <c r="C3" s="2">
        <v>75</v>
      </c>
      <c r="D3" s="2">
        <f t="shared" ref="D3:D21" si="0">B:B*C:C</f>
        <v>1200</v>
      </c>
    </row>
    <row r="4" spans="1:4" s="2" customFormat="1" ht="23.25" customHeight="1" x14ac:dyDescent="0.3">
      <c r="A4" s="2" t="s">
        <v>18</v>
      </c>
      <c r="B4" s="2">
        <v>3</v>
      </c>
      <c r="C4" s="2">
        <v>600</v>
      </c>
      <c r="D4" s="2">
        <f t="shared" si="0"/>
        <v>1800</v>
      </c>
    </row>
    <row r="5" spans="1:4" s="2" customFormat="1" ht="23.25" customHeight="1" x14ac:dyDescent="0.3">
      <c r="A5" s="8">
        <v>44947</v>
      </c>
    </row>
    <row r="6" spans="1:4" s="2" customFormat="1" ht="23.25" customHeight="1" x14ac:dyDescent="0.3">
      <c r="A6" s="2" t="s">
        <v>19</v>
      </c>
      <c r="B6" s="2">
        <v>1</v>
      </c>
      <c r="D6" s="2">
        <v>400</v>
      </c>
    </row>
    <row r="7" spans="1:4" ht="23.25" customHeight="1" x14ac:dyDescent="0.3">
      <c r="A7" s="1" t="s">
        <v>20</v>
      </c>
      <c r="B7" s="1">
        <v>6</v>
      </c>
      <c r="C7" s="1">
        <v>125</v>
      </c>
      <c r="D7" s="2">
        <f t="shared" si="0"/>
        <v>750</v>
      </c>
    </row>
    <row r="8" spans="1:4" ht="23.25" customHeight="1" x14ac:dyDescent="0.3">
      <c r="A8" s="1" t="s">
        <v>21</v>
      </c>
      <c r="B8" s="1">
        <v>4</v>
      </c>
      <c r="C8" s="1">
        <v>175</v>
      </c>
      <c r="D8" s="2">
        <f t="shared" si="0"/>
        <v>700</v>
      </c>
    </row>
    <row r="9" spans="1:4" ht="23.25" customHeight="1" x14ac:dyDescent="0.3">
      <c r="D9" s="2">
        <f>SUM(D6:D8)</f>
        <v>1850</v>
      </c>
    </row>
    <row r="10" spans="1:4" ht="23.25" customHeight="1" x14ac:dyDescent="0.3">
      <c r="D10" s="2">
        <f t="shared" si="0"/>
        <v>0</v>
      </c>
    </row>
    <row r="11" spans="1:4" ht="23.25" customHeight="1" x14ac:dyDescent="0.3">
      <c r="D11" s="2">
        <f t="shared" si="0"/>
        <v>0</v>
      </c>
    </row>
    <row r="12" spans="1:4" ht="23.25" customHeight="1" x14ac:dyDescent="0.3">
      <c r="D12" s="2">
        <f t="shared" si="0"/>
        <v>0</v>
      </c>
    </row>
    <row r="13" spans="1:4" ht="23.25" customHeight="1" x14ac:dyDescent="0.3">
      <c r="D13" s="2">
        <f t="shared" si="0"/>
        <v>0</v>
      </c>
    </row>
    <row r="14" spans="1:4" ht="23.25" customHeight="1" x14ac:dyDescent="0.3">
      <c r="D14" s="2">
        <f t="shared" si="0"/>
        <v>0</v>
      </c>
    </row>
    <row r="15" spans="1:4" ht="23.25" customHeight="1" x14ac:dyDescent="0.3">
      <c r="D15" s="2">
        <f t="shared" si="0"/>
        <v>0</v>
      </c>
    </row>
    <row r="16" spans="1:4" ht="23.25" customHeight="1" x14ac:dyDescent="0.3">
      <c r="D16" s="2">
        <f t="shared" si="0"/>
        <v>0</v>
      </c>
    </row>
    <row r="17" spans="4:4" ht="23.25" customHeight="1" x14ac:dyDescent="0.3">
      <c r="D17" s="2">
        <f t="shared" si="0"/>
        <v>0</v>
      </c>
    </row>
    <row r="18" spans="4:4" ht="23.25" customHeight="1" x14ac:dyDescent="0.3">
      <c r="D18" s="2">
        <f t="shared" si="0"/>
        <v>0</v>
      </c>
    </row>
    <row r="19" spans="4:4" ht="23.25" customHeight="1" x14ac:dyDescent="0.3">
      <c r="D19" s="2">
        <f t="shared" si="0"/>
        <v>0</v>
      </c>
    </row>
    <row r="20" spans="4:4" ht="23.25" customHeight="1" x14ac:dyDescent="0.3">
      <c r="D20" s="2">
        <f t="shared" si="0"/>
        <v>0</v>
      </c>
    </row>
    <row r="21" spans="4:4" ht="23.25" customHeight="1" x14ac:dyDescent="0.3">
      <c r="D21" s="2">
        <f t="shared" si="0"/>
        <v>0</v>
      </c>
    </row>
  </sheetData>
  <pageMargins left="0.7" right="0.7" top="0.75" bottom="0.75" header="0.3" footer="0.3"/>
  <pageSetup paperSize="28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A11" sqref="A11"/>
    </sheetView>
  </sheetViews>
  <sheetFormatPr defaultColWidth="9.109375" defaultRowHeight="23.25" customHeight="1" x14ac:dyDescent="0.3"/>
  <cols>
    <col min="1" max="1" width="46.109375" style="4" customWidth="1"/>
    <col min="2" max="2" width="9.109375" style="4"/>
    <col min="3" max="3" width="20" style="4" customWidth="1"/>
    <col min="4" max="4" width="11.6640625" style="4" customWidth="1"/>
    <col min="5" max="16384" width="9.109375" style="4"/>
  </cols>
  <sheetData>
    <row r="1" spans="1:4" ht="23.25" customHeight="1" x14ac:dyDescent="0.3">
      <c r="A1" s="9"/>
      <c r="B1" s="4" t="s">
        <v>1</v>
      </c>
      <c r="C1" s="4" t="s">
        <v>16</v>
      </c>
      <c r="D1" s="4" t="s">
        <v>3</v>
      </c>
    </row>
    <row r="2" spans="1:4" s="3" customFormat="1" ht="23.25" customHeight="1" x14ac:dyDescent="0.3">
      <c r="A2" s="11" t="s">
        <v>23</v>
      </c>
    </row>
    <row r="3" spans="1:4" s="3" customFormat="1" ht="23.25" customHeight="1" x14ac:dyDescent="0.3">
      <c r="A3" s="3" t="s">
        <v>24</v>
      </c>
      <c r="B3" s="3">
        <v>6</v>
      </c>
      <c r="C3" s="3">
        <v>600</v>
      </c>
      <c r="D3" s="3">
        <f t="shared" ref="D3:D21" si="0">B:B*C:C</f>
        <v>3600</v>
      </c>
    </row>
    <row r="4" spans="1:4" s="3" customFormat="1" ht="23.25" customHeight="1" x14ac:dyDescent="0.3">
      <c r="A4" s="3" t="s">
        <v>25</v>
      </c>
      <c r="B4" s="3">
        <v>20</v>
      </c>
      <c r="C4" s="3">
        <v>12</v>
      </c>
      <c r="D4" s="3">
        <f t="shared" si="0"/>
        <v>240</v>
      </c>
    </row>
    <row r="5" spans="1:4" s="3" customFormat="1" ht="23.25" customHeight="1" x14ac:dyDescent="0.3">
      <c r="A5" s="10" t="s">
        <v>26</v>
      </c>
      <c r="B5" s="3">
        <v>90</v>
      </c>
      <c r="C5" s="3">
        <v>6</v>
      </c>
      <c r="D5" s="3">
        <f t="shared" si="0"/>
        <v>540</v>
      </c>
    </row>
    <row r="6" spans="1:4" s="3" customFormat="1" ht="23.25" customHeight="1" x14ac:dyDescent="0.3">
      <c r="A6" s="3" t="s">
        <v>8</v>
      </c>
      <c r="B6" s="3">
        <v>8</v>
      </c>
      <c r="C6" s="3">
        <v>125</v>
      </c>
      <c r="D6" s="3">
        <f t="shared" si="0"/>
        <v>1000</v>
      </c>
    </row>
    <row r="7" spans="1:4" ht="23.25" customHeight="1" x14ac:dyDescent="0.3">
      <c r="D7" s="3">
        <f t="shared" si="0"/>
        <v>0</v>
      </c>
    </row>
    <row r="8" spans="1:4" ht="23.25" customHeight="1" x14ac:dyDescent="0.3">
      <c r="A8" s="12">
        <v>45045</v>
      </c>
      <c r="D8" s="3">
        <f t="shared" si="0"/>
        <v>0</v>
      </c>
    </row>
    <row r="9" spans="1:4" ht="23.25" customHeight="1" x14ac:dyDescent="0.3">
      <c r="A9" s="4" t="s">
        <v>27</v>
      </c>
      <c r="B9" s="4">
        <v>3</v>
      </c>
      <c r="C9" s="4">
        <v>150</v>
      </c>
      <c r="D9" s="3">
        <f t="shared" si="0"/>
        <v>450</v>
      </c>
    </row>
    <row r="10" spans="1:4" ht="23.25" customHeight="1" x14ac:dyDescent="0.3">
      <c r="A10" s="4" t="s">
        <v>28</v>
      </c>
      <c r="B10" s="4">
        <v>20</v>
      </c>
      <c r="C10" s="4">
        <v>15</v>
      </c>
      <c r="D10" s="3">
        <f t="shared" si="0"/>
        <v>300</v>
      </c>
    </row>
    <row r="11" spans="1:4" ht="23.25" customHeight="1" x14ac:dyDescent="0.3">
      <c r="D11" s="3">
        <f t="shared" si="0"/>
        <v>0</v>
      </c>
    </row>
    <row r="12" spans="1:4" ht="23.25" customHeight="1" x14ac:dyDescent="0.3">
      <c r="D12" s="3">
        <f t="shared" si="0"/>
        <v>0</v>
      </c>
    </row>
    <row r="13" spans="1:4" ht="23.25" customHeight="1" x14ac:dyDescent="0.3">
      <c r="D13" s="3">
        <f t="shared" si="0"/>
        <v>0</v>
      </c>
    </row>
    <row r="14" spans="1:4" ht="23.25" customHeight="1" x14ac:dyDescent="0.3">
      <c r="D14" s="3">
        <f t="shared" si="0"/>
        <v>0</v>
      </c>
    </row>
    <row r="15" spans="1:4" ht="23.25" customHeight="1" x14ac:dyDescent="0.3">
      <c r="D15" s="3">
        <f t="shared" si="0"/>
        <v>0</v>
      </c>
    </row>
    <row r="16" spans="1:4" ht="23.25" customHeight="1" x14ac:dyDescent="0.3">
      <c r="D16" s="3">
        <f t="shared" si="0"/>
        <v>0</v>
      </c>
    </row>
    <row r="17" spans="4:4" ht="23.25" customHeight="1" x14ac:dyDescent="0.3">
      <c r="D17" s="3">
        <f t="shared" si="0"/>
        <v>0</v>
      </c>
    </row>
    <row r="18" spans="4:4" ht="23.25" customHeight="1" x14ac:dyDescent="0.3">
      <c r="D18" s="3">
        <f t="shared" si="0"/>
        <v>0</v>
      </c>
    </row>
    <row r="19" spans="4:4" ht="23.25" customHeight="1" x14ac:dyDescent="0.3">
      <c r="D19" s="3">
        <f t="shared" si="0"/>
        <v>0</v>
      </c>
    </row>
    <row r="20" spans="4:4" ht="23.25" customHeight="1" x14ac:dyDescent="0.3">
      <c r="D20" s="3">
        <f t="shared" si="0"/>
        <v>0</v>
      </c>
    </row>
    <row r="21" spans="4:4" ht="23.25" customHeight="1" x14ac:dyDescent="0.3">
      <c r="D21" s="3">
        <f t="shared" si="0"/>
        <v>0</v>
      </c>
    </row>
  </sheetData>
  <pageMargins left="0.7" right="0.7" top="0.75" bottom="0.75" header="0.3" footer="0.3"/>
  <pageSetup paperSize="28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opLeftCell="A2" workbookViewId="0">
      <selection activeCell="A2" sqref="A2"/>
    </sheetView>
  </sheetViews>
  <sheetFormatPr defaultColWidth="9.109375" defaultRowHeight="23.25" customHeight="1" x14ac:dyDescent="0.3"/>
  <cols>
    <col min="1" max="1" width="46.109375" style="4" customWidth="1"/>
    <col min="2" max="2" width="9.109375" style="4"/>
    <col min="3" max="3" width="20" style="4" customWidth="1"/>
    <col min="4" max="4" width="11.6640625" style="4" customWidth="1"/>
    <col min="5" max="16384" width="9.109375" style="4"/>
  </cols>
  <sheetData>
    <row r="1" spans="1:4" ht="23.25" customHeight="1" x14ac:dyDescent="0.3">
      <c r="A1" s="9"/>
      <c r="B1" s="4" t="s">
        <v>1</v>
      </c>
      <c r="C1" s="4" t="s">
        <v>16</v>
      </c>
      <c r="D1" s="4" t="s">
        <v>3</v>
      </c>
    </row>
    <row r="2" spans="1:4" s="3" customFormat="1" ht="23.25" customHeight="1" x14ac:dyDescent="0.3">
      <c r="A2" s="11" t="s">
        <v>30</v>
      </c>
    </row>
    <row r="3" spans="1:4" s="3" customFormat="1" ht="23.25" customHeight="1" x14ac:dyDescent="0.3">
      <c r="A3" s="3" t="s">
        <v>31</v>
      </c>
      <c r="B3" s="3">
        <v>4</v>
      </c>
      <c r="C3" s="3">
        <v>150</v>
      </c>
      <c r="D3" s="3">
        <f>B:B*C:C</f>
        <v>600</v>
      </c>
    </row>
    <row r="4" spans="1:4" s="3" customFormat="1" ht="23.25" customHeight="1" x14ac:dyDescent="0.3">
      <c r="A4" s="3" t="s">
        <v>32</v>
      </c>
      <c r="D4" s="3">
        <f>B:B*C:C</f>
        <v>0</v>
      </c>
    </row>
    <row r="5" spans="1:4" s="3" customFormat="1" ht="23.25" customHeight="1" x14ac:dyDescent="0.3">
      <c r="A5" s="10"/>
      <c r="D5" s="3">
        <f>B:B*C:C</f>
        <v>0</v>
      </c>
    </row>
    <row r="6" spans="1:4" s="3" customFormat="1" ht="23.25" customHeight="1" x14ac:dyDescent="0.3">
      <c r="A6" s="12" t="s">
        <v>34</v>
      </c>
      <c r="D6" s="3">
        <f>B:B*C:C</f>
        <v>0</v>
      </c>
    </row>
    <row r="7" spans="1:4" ht="23.25" customHeight="1" x14ac:dyDescent="0.3">
      <c r="A7" s="4" t="s">
        <v>35</v>
      </c>
      <c r="D7" s="13">
        <v>1600</v>
      </c>
    </row>
    <row r="8" spans="1:4" ht="23.25" customHeight="1" x14ac:dyDescent="0.3">
      <c r="A8" s="4" t="s">
        <v>25</v>
      </c>
      <c r="B8" s="4">
        <v>20</v>
      </c>
      <c r="C8" s="4">
        <v>12</v>
      </c>
      <c r="D8" s="3">
        <f t="shared" ref="D8:D16" si="0">B:B*C:C</f>
        <v>240</v>
      </c>
    </row>
    <row r="9" spans="1:4" ht="23.25" customHeight="1" x14ac:dyDescent="0.3">
      <c r="A9" s="4" t="s">
        <v>41</v>
      </c>
      <c r="B9" s="4">
        <v>100</v>
      </c>
      <c r="C9" s="4">
        <v>6</v>
      </c>
      <c r="D9" s="3">
        <f t="shared" si="0"/>
        <v>600</v>
      </c>
    </row>
    <row r="10" spans="1:4" ht="23.25" customHeight="1" x14ac:dyDescent="0.3">
      <c r="A10" s="4" t="s">
        <v>11</v>
      </c>
      <c r="B10" s="4">
        <v>1</v>
      </c>
      <c r="C10" s="4">
        <v>400</v>
      </c>
      <c r="D10" s="3">
        <f t="shared" si="0"/>
        <v>400</v>
      </c>
    </row>
    <row r="11" spans="1:4" ht="23.25" customHeight="1" x14ac:dyDescent="0.3">
      <c r="A11" s="4" t="s">
        <v>36</v>
      </c>
      <c r="B11" s="4">
        <v>6</v>
      </c>
      <c r="C11" s="4">
        <v>600</v>
      </c>
      <c r="D11" s="3">
        <f t="shared" si="0"/>
        <v>3600</v>
      </c>
    </row>
    <row r="12" spans="1:4" ht="23.25" customHeight="1" x14ac:dyDescent="0.3">
      <c r="A12" s="4" t="s">
        <v>37</v>
      </c>
      <c r="D12" s="3">
        <f t="shared" si="0"/>
        <v>0</v>
      </c>
    </row>
    <row r="13" spans="1:4" ht="23.25" customHeight="1" x14ac:dyDescent="0.3">
      <c r="A13" s="4" t="s">
        <v>38</v>
      </c>
      <c r="B13" s="4">
        <v>150</v>
      </c>
      <c r="C13" s="4">
        <v>60</v>
      </c>
      <c r="D13" s="3">
        <f t="shared" si="0"/>
        <v>9000</v>
      </c>
    </row>
    <row r="14" spans="1:4" ht="23.25" customHeight="1" x14ac:dyDescent="0.3">
      <c r="A14" s="4" t="s">
        <v>17</v>
      </c>
      <c r="B14" s="4">
        <v>50</v>
      </c>
      <c r="C14" s="4">
        <v>75</v>
      </c>
      <c r="D14" s="3">
        <f t="shared" si="0"/>
        <v>3750</v>
      </c>
    </row>
    <row r="15" spans="1:4" ht="23.25" customHeight="1" x14ac:dyDescent="0.3">
      <c r="A15" s="4" t="s">
        <v>39</v>
      </c>
      <c r="B15" s="4">
        <v>8</v>
      </c>
      <c r="C15" s="4">
        <v>200</v>
      </c>
      <c r="D15" s="3">
        <f t="shared" si="0"/>
        <v>1600</v>
      </c>
    </row>
    <row r="16" spans="1:4" ht="23.25" customHeight="1" x14ac:dyDescent="0.3">
      <c r="A16" s="4" t="s">
        <v>40</v>
      </c>
      <c r="B16" s="4">
        <v>4</v>
      </c>
      <c r="C16" s="4">
        <v>175</v>
      </c>
      <c r="D16" s="3">
        <f t="shared" si="0"/>
        <v>700</v>
      </c>
    </row>
    <row r="17" spans="4:4" ht="23.25" customHeight="1" x14ac:dyDescent="0.3">
      <c r="D17" s="13">
        <f>SUM(D7:D16)</f>
        <v>21490</v>
      </c>
    </row>
    <row r="18" spans="4:4" ht="23.25" customHeight="1" x14ac:dyDescent="0.3">
      <c r="D18" s="3">
        <f>B:B*C:C</f>
        <v>0</v>
      </c>
    </row>
    <row r="19" spans="4:4" ht="23.25" customHeight="1" x14ac:dyDescent="0.3">
      <c r="D19" s="3">
        <f>B:B*C:C</f>
        <v>0</v>
      </c>
    </row>
    <row r="20" spans="4:4" ht="23.25" customHeight="1" x14ac:dyDescent="0.3">
      <c r="D20" s="3">
        <f>B:B*C:C</f>
        <v>0</v>
      </c>
    </row>
  </sheetData>
  <pageMargins left="0.7" right="0.7" top="0.75" bottom="0.75" header="0.3" footer="0.3"/>
  <pageSetup paperSize="285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opLeftCell="A20" workbookViewId="0">
      <selection activeCell="D38" sqref="D38:D44"/>
    </sheetView>
  </sheetViews>
  <sheetFormatPr defaultColWidth="8.88671875" defaultRowHeight="14.4" x14ac:dyDescent="0.3"/>
  <cols>
    <col min="1" max="1" width="40.88671875" style="16" bestFit="1" customWidth="1"/>
    <col min="2" max="3" width="22.44140625" style="16" customWidth="1"/>
    <col min="4" max="16384" width="8.88671875" style="16"/>
  </cols>
  <sheetData>
    <row r="1" spans="1:4" s="14" customFormat="1" ht="23.25" customHeight="1" x14ac:dyDescent="0.3">
      <c r="A1" s="12" t="s">
        <v>43</v>
      </c>
      <c r="B1" s="14" t="s">
        <v>1</v>
      </c>
      <c r="C1" s="14" t="s">
        <v>42</v>
      </c>
      <c r="D1" s="14" t="s">
        <v>3</v>
      </c>
    </row>
    <row r="2" spans="1:4" x14ac:dyDescent="0.3">
      <c r="A2" s="15">
        <v>45086</v>
      </c>
      <c r="D2" s="16">
        <f>B:B*C:C</f>
        <v>0</v>
      </c>
    </row>
    <row r="3" spans="1:4" x14ac:dyDescent="0.3">
      <c r="A3" s="16" t="s">
        <v>46</v>
      </c>
      <c r="B3" s="16">
        <v>8</v>
      </c>
      <c r="C3" s="16">
        <v>400</v>
      </c>
      <c r="D3" s="16">
        <f t="shared" ref="D3:D33" si="0">B:B*C:C</f>
        <v>3200</v>
      </c>
    </row>
    <row r="4" spans="1:4" x14ac:dyDescent="0.3">
      <c r="A4" s="16" t="s">
        <v>11</v>
      </c>
      <c r="B4" s="16">
        <v>1</v>
      </c>
      <c r="C4" s="16">
        <v>400</v>
      </c>
      <c r="D4" s="16">
        <f t="shared" si="0"/>
        <v>400</v>
      </c>
    </row>
    <row r="5" spans="1:4" x14ac:dyDescent="0.3">
      <c r="A5" s="16" t="s">
        <v>53</v>
      </c>
      <c r="B5" s="16">
        <v>12</v>
      </c>
      <c r="C5" s="16">
        <v>250</v>
      </c>
      <c r="D5" s="16">
        <f t="shared" si="0"/>
        <v>3000</v>
      </c>
    </row>
    <row r="6" spans="1:4" x14ac:dyDescent="0.3">
      <c r="D6" s="16">
        <f>SUM(D3:D5)</f>
        <v>6600</v>
      </c>
    </row>
    <row r="7" spans="1:4" x14ac:dyDescent="0.3">
      <c r="A7" s="15" t="s">
        <v>47</v>
      </c>
      <c r="D7" s="16">
        <f t="shared" si="0"/>
        <v>0</v>
      </c>
    </row>
    <row r="8" spans="1:4" x14ac:dyDescent="0.3">
      <c r="A8" s="16" t="s">
        <v>44</v>
      </c>
      <c r="B8" s="16">
        <v>6</v>
      </c>
      <c r="C8" s="16">
        <v>400</v>
      </c>
      <c r="D8" s="16">
        <f t="shared" si="0"/>
        <v>2400</v>
      </c>
    </row>
    <row r="9" spans="1:4" x14ac:dyDescent="0.3">
      <c r="A9" s="16" t="s">
        <v>45</v>
      </c>
      <c r="B9" s="16">
        <v>8</v>
      </c>
      <c r="C9" s="16">
        <v>50</v>
      </c>
      <c r="D9" s="16">
        <f t="shared" si="0"/>
        <v>400</v>
      </c>
    </row>
    <row r="10" spans="1:4" x14ac:dyDescent="0.3">
      <c r="A10" s="16" t="s">
        <v>52</v>
      </c>
      <c r="B10" s="16">
        <v>50</v>
      </c>
      <c r="C10" s="16">
        <v>75</v>
      </c>
      <c r="D10" s="16">
        <f t="shared" si="0"/>
        <v>3750</v>
      </c>
    </row>
    <row r="11" spans="1:4" x14ac:dyDescent="0.3">
      <c r="D11" s="16">
        <f>SUM(D8:D10)</f>
        <v>6550</v>
      </c>
    </row>
    <row r="12" spans="1:4" x14ac:dyDescent="0.3">
      <c r="A12" s="17" t="s">
        <v>48</v>
      </c>
      <c r="D12" s="16">
        <f t="shared" si="0"/>
        <v>0</v>
      </c>
    </row>
    <row r="13" spans="1:4" x14ac:dyDescent="0.3">
      <c r="A13" s="16" t="s">
        <v>49</v>
      </c>
      <c r="B13" s="16">
        <v>150</v>
      </c>
      <c r="C13" s="16">
        <v>60</v>
      </c>
      <c r="D13" s="16">
        <f t="shared" si="0"/>
        <v>9000</v>
      </c>
    </row>
    <row r="14" spans="1:4" x14ac:dyDescent="0.3">
      <c r="A14" s="16" t="s">
        <v>50</v>
      </c>
      <c r="B14" s="16">
        <v>8</v>
      </c>
      <c r="C14" s="16">
        <v>125</v>
      </c>
      <c r="D14" s="16">
        <f t="shared" si="0"/>
        <v>1000</v>
      </c>
    </row>
    <row r="15" spans="1:4" x14ac:dyDescent="0.3">
      <c r="A15" s="16" t="s">
        <v>55</v>
      </c>
      <c r="B15" s="16">
        <v>15</v>
      </c>
      <c r="C15" s="16">
        <v>12</v>
      </c>
      <c r="D15" s="16">
        <f t="shared" si="0"/>
        <v>180</v>
      </c>
    </row>
    <row r="16" spans="1:4" x14ac:dyDescent="0.3">
      <c r="A16" s="16" t="s">
        <v>51</v>
      </c>
      <c r="B16" s="16">
        <v>300</v>
      </c>
      <c r="C16" s="16">
        <v>6</v>
      </c>
      <c r="D16" s="16">
        <f t="shared" si="0"/>
        <v>1800</v>
      </c>
    </row>
    <row r="17" spans="1:4" x14ac:dyDescent="0.3">
      <c r="A17" s="16" t="s">
        <v>56</v>
      </c>
      <c r="B17" s="16">
        <v>125</v>
      </c>
      <c r="C17" s="16">
        <v>14</v>
      </c>
      <c r="D17" s="16">
        <f t="shared" si="0"/>
        <v>1750</v>
      </c>
    </row>
    <row r="18" spans="1:4" x14ac:dyDescent="0.3">
      <c r="D18" s="16">
        <f>SUM(D13:D17)</f>
        <v>13730</v>
      </c>
    </row>
    <row r="21" spans="1:4" x14ac:dyDescent="0.3">
      <c r="A21" s="15">
        <v>45091</v>
      </c>
    </row>
    <row r="22" spans="1:4" x14ac:dyDescent="0.3">
      <c r="A22" s="16" t="s">
        <v>57</v>
      </c>
      <c r="B22" s="16">
        <v>15</v>
      </c>
      <c r="C22" s="16">
        <v>150</v>
      </c>
      <c r="D22" s="16">
        <f>B:B*C:C</f>
        <v>2250</v>
      </c>
    </row>
    <row r="23" spans="1:4" x14ac:dyDescent="0.3">
      <c r="A23" s="16" t="s">
        <v>58</v>
      </c>
      <c r="B23" s="16">
        <v>6</v>
      </c>
      <c r="C23" s="16">
        <v>175</v>
      </c>
      <c r="D23" s="16">
        <f t="shared" ref="D23:D24" si="1">B:B*C:C</f>
        <v>1050</v>
      </c>
    </row>
    <row r="24" spans="1:4" x14ac:dyDescent="0.3">
      <c r="A24" s="16" t="s">
        <v>59</v>
      </c>
      <c r="B24" s="16">
        <v>1</v>
      </c>
      <c r="C24" s="16">
        <v>400</v>
      </c>
      <c r="D24" s="16">
        <f t="shared" si="1"/>
        <v>400</v>
      </c>
    </row>
    <row r="25" spans="1:4" x14ac:dyDescent="0.3">
      <c r="D25" s="16">
        <f>SUM(D22:D24)</f>
        <v>3700</v>
      </c>
    </row>
    <row r="26" spans="1:4" x14ac:dyDescent="0.3">
      <c r="A26" s="16" t="s">
        <v>63</v>
      </c>
      <c r="D26" s="18">
        <v>1000</v>
      </c>
    </row>
    <row r="29" spans="1:4" x14ac:dyDescent="0.3">
      <c r="A29" s="15">
        <v>45095</v>
      </c>
      <c r="D29" s="16">
        <f t="shared" si="0"/>
        <v>0</v>
      </c>
    </row>
    <row r="30" spans="1:4" x14ac:dyDescent="0.3">
      <c r="A30" s="16" t="s">
        <v>54</v>
      </c>
      <c r="B30" s="16">
        <v>52</v>
      </c>
      <c r="C30" s="16">
        <v>75</v>
      </c>
      <c r="D30" s="16">
        <f t="shared" si="0"/>
        <v>3900</v>
      </c>
    </row>
    <row r="31" spans="1:4" x14ac:dyDescent="0.3">
      <c r="A31" s="16" t="s">
        <v>39</v>
      </c>
      <c r="B31" s="16">
        <v>6</v>
      </c>
      <c r="C31" s="16">
        <v>200</v>
      </c>
      <c r="D31" s="16">
        <f t="shared" si="0"/>
        <v>1200</v>
      </c>
    </row>
    <row r="32" spans="1:4" x14ac:dyDescent="0.3">
      <c r="A32" s="16" t="s">
        <v>60</v>
      </c>
      <c r="B32" s="16">
        <v>102</v>
      </c>
      <c r="C32" s="16">
        <v>10</v>
      </c>
      <c r="D32" s="16">
        <f t="shared" si="0"/>
        <v>1020</v>
      </c>
    </row>
    <row r="33" spans="1:4" x14ac:dyDescent="0.3">
      <c r="A33" s="16" t="s">
        <v>61</v>
      </c>
      <c r="B33" s="16">
        <v>204</v>
      </c>
      <c r="C33" s="16">
        <v>4</v>
      </c>
      <c r="D33" s="16">
        <f t="shared" si="0"/>
        <v>816</v>
      </c>
    </row>
    <row r="34" spans="1:4" x14ac:dyDescent="0.3">
      <c r="A34" s="16" t="s">
        <v>62</v>
      </c>
      <c r="B34" s="16">
        <v>2</v>
      </c>
      <c r="C34" s="16">
        <v>100</v>
      </c>
      <c r="D34" s="16">
        <v>200</v>
      </c>
    </row>
    <row r="35" spans="1:4" x14ac:dyDescent="0.3">
      <c r="D35" s="16">
        <f>SUM(D30:D34)</f>
        <v>7136</v>
      </c>
    </row>
    <row r="37" spans="1:4" x14ac:dyDescent="0.3">
      <c r="A37" s="17" t="s">
        <v>67</v>
      </c>
    </row>
    <row r="38" spans="1:4" x14ac:dyDescent="0.3">
      <c r="A38" s="16" t="s">
        <v>68</v>
      </c>
      <c r="B38" s="16">
        <v>15</v>
      </c>
      <c r="C38" s="16">
        <v>150</v>
      </c>
      <c r="D38" s="16">
        <f>B:B*C:C</f>
        <v>2250</v>
      </c>
    </row>
    <row r="39" spans="1:4" x14ac:dyDescent="0.3">
      <c r="A39" s="16" t="s">
        <v>69</v>
      </c>
      <c r="B39" s="16">
        <v>15</v>
      </c>
      <c r="C39" s="16">
        <v>175</v>
      </c>
      <c r="D39" s="16">
        <f t="shared" ref="D39:D42" si="2">B:B*C:C</f>
        <v>2625</v>
      </c>
    </row>
    <row r="40" spans="1:4" x14ac:dyDescent="0.3">
      <c r="A40" s="16" t="s">
        <v>70</v>
      </c>
      <c r="B40" s="16">
        <v>4</v>
      </c>
      <c r="C40" s="16">
        <v>100</v>
      </c>
      <c r="D40" s="16">
        <f t="shared" si="2"/>
        <v>400</v>
      </c>
    </row>
    <row r="41" spans="1:4" x14ac:dyDescent="0.3">
      <c r="A41" s="16" t="s">
        <v>71</v>
      </c>
      <c r="B41" s="16">
        <v>2</v>
      </c>
      <c r="C41" s="16">
        <v>100</v>
      </c>
      <c r="D41" s="16">
        <f t="shared" si="2"/>
        <v>200</v>
      </c>
    </row>
    <row r="42" spans="1:4" x14ac:dyDescent="0.3">
      <c r="A42" s="16" t="s">
        <v>72</v>
      </c>
      <c r="B42" s="16">
        <v>1</v>
      </c>
      <c r="C42" s="16">
        <v>400</v>
      </c>
      <c r="D42" s="16">
        <f t="shared" si="2"/>
        <v>400</v>
      </c>
    </row>
    <row r="43" spans="1:4" x14ac:dyDescent="0.3">
      <c r="A43" s="16" t="s">
        <v>73</v>
      </c>
      <c r="D43" s="16">
        <v>800</v>
      </c>
    </row>
    <row r="44" spans="1:4" x14ac:dyDescent="0.3">
      <c r="D44" s="16">
        <f>SUM(D38:D43)</f>
        <v>6675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C29" sqref="C29"/>
    </sheetView>
  </sheetViews>
  <sheetFormatPr defaultColWidth="8.88671875" defaultRowHeight="14.4" x14ac:dyDescent="0.3"/>
  <cols>
    <col min="1" max="1" width="40.88671875" style="16" bestFit="1" customWidth="1"/>
    <col min="2" max="3" width="22.44140625" style="16" customWidth="1"/>
    <col min="4" max="16384" width="8.88671875" style="16"/>
  </cols>
  <sheetData>
    <row r="1" spans="1:4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4" x14ac:dyDescent="0.3">
      <c r="A2" s="15" t="s">
        <v>76</v>
      </c>
    </row>
    <row r="3" spans="1:4" x14ac:dyDescent="0.3">
      <c r="A3" s="16" t="s">
        <v>77</v>
      </c>
      <c r="B3" s="16">
        <v>10</v>
      </c>
      <c r="C3" s="16">
        <v>20</v>
      </c>
      <c r="D3" s="16">
        <v>200</v>
      </c>
    </row>
    <row r="5" spans="1:4" x14ac:dyDescent="0.3">
      <c r="A5" s="15" t="s">
        <v>78</v>
      </c>
    </row>
    <row r="6" spans="1:4" x14ac:dyDescent="0.3">
      <c r="A6" s="16" t="s">
        <v>79</v>
      </c>
      <c r="B6" s="16">
        <v>7</v>
      </c>
      <c r="C6" s="16">
        <v>250</v>
      </c>
      <c r="D6" s="16">
        <f>B:B*C:C</f>
        <v>1750</v>
      </c>
    </row>
    <row r="7" spans="1:4" x14ac:dyDescent="0.3">
      <c r="A7" s="16" t="s">
        <v>50</v>
      </c>
      <c r="B7" s="16">
        <v>8</v>
      </c>
      <c r="C7" s="16">
        <v>125</v>
      </c>
      <c r="D7" s="16">
        <f t="shared" ref="D7:D21" si="0">B:B*C:C</f>
        <v>1000</v>
      </c>
    </row>
    <row r="8" spans="1:4" x14ac:dyDescent="0.3">
      <c r="A8" s="16" t="s">
        <v>11</v>
      </c>
      <c r="B8" s="16">
        <v>1</v>
      </c>
      <c r="C8" s="16">
        <v>400</v>
      </c>
      <c r="D8" s="16">
        <f t="shared" si="0"/>
        <v>400</v>
      </c>
    </row>
    <row r="9" spans="1:4" x14ac:dyDescent="0.3">
      <c r="A9" s="16" t="s">
        <v>80</v>
      </c>
      <c r="B9" s="16">
        <v>115</v>
      </c>
      <c r="C9" s="16">
        <v>75</v>
      </c>
      <c r="D9" s="16">
        <f t="shared" si="0"/>
        <v>8625</v>
      </c>
    </row>
    <row r="10" spans="1:4" x14ac:dyDescent="0.3">
      <c r="A10" s="16" t="s">
        <v>41</v>
      </c>
      <c r="B10" s="16">
        <v>217</v>
      </c>
      <c r="C10" s="16">
        <v>6</v>
      </c>
      <c r="D10" s="16">
        <f t="shared" si="0"/>
        <v>1302</v>
      </c>
    </row>
    <row r="11" spans="1:4" x14ac:dyDescent="0.3">
      <c r="D11" s="16">
        <f>SUM(D6:D10)</f>
        <v>13077</v>
      </c>
    </row>
    <row r="12" spans="1:4" x14ac:dyDescent="0.3">
      <c r="A12" s="19"/>
      <c r="D12" s="16">
        <f t="shared" si="0"/>
        <v>0</v>
      </c>
    </row>
    <row r="13" spans="1:4" x14ac:dyDescent="0.3">
      <c r="A13" s="15">
        <v>45123</v>
      </c>
      <c r="D13" s="16">
        <f t="shared" si="0"/>
        <v>0</v>
      </c>
    </row>
    <row r="14" spans="1:4" x14ac:dyDescent="0.3">
      <c r="A14" s="16" t="s">
        <v>82</v>
      </c>
      <c r="B14" s="16">
        <v>140</v>
      </c>
      <c r="C14" s="16">
        <v>15</v>
      </c>
      <c r="D14" s="16">
        <f t="shared" si="0"/>
        <v>2100</v>
      </c>
    </row>
    <row r="15" spans="1:4" x14ac:dyDescent="0.3">
      <c r="A15" s="16" t="s">
        <v>55</v>
      </c>
      <c r="B15" s="16">
        <v>210</v>
      </c>
      <c r="C15" s="16">
        <v>12</v>
      </c>
      <c r="D15" s="16">
        <f t="shared" si="0"/>
        <v>2520</v>
      </c>
    </row>
    <row r="16" spans="1:4" x14ac:dyDescent="0.3">
      <c r="D16" s="16">
        <f>SUM(D14:D15)</f>
        <v>4620</v>
      </c>
    </row>
    <row r="17" spans="1:4" x14ac:dyDescent="0.3">
      <c r="D17" s="16">
        <f t="shared" si="0"/>
        <v>0</v>
      </c>
    </row>
    <row r="18" spans="1:4" x14ac:dyDescent="0.3">
      <c r="D18" s="16">
        <f t="shared" si="0"/>
        <v>0</v>
      </c>
    </row>
    <row r="19" spans="1:4" x14ac:dyDescent="0.3">
      <c r="D19" s="16">
        <f t="shared" si="0"/>
        <v>0</v>
      </c>
    </row>
    <row r="20" spans="1:4" x14ac:dyDescent="0.3">
      <c r="D20" s="16">
        <f t="shared" si="0"/>
        <v>0</v>
      </c>
    </row>
    <row r="21" spans="1:4" x14ac:dyDescent="0.3">
      <c r="A21" s="20"/>
      <c r="D21" s="16">
        <f t="shared" si="0"/>
        <v>0</v>
      </c>
    </row>
    <row r="26" spans="1:4" x14ac:dyDescent="0.3">
      <c r="D26" s="18"/>
    </row>
    <row r="29" spans="1:4" x14ac:dyDescent="0.3">
      <c r="A29" s="20"/>
    </row>
    <row r="37" spans="1:1" x14ac:dyDescent="0.3">
      <c r="A37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topLeftCell="A37" workbookViewId="0">
      <selection activeCell="G50" sqref="G50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13.33203125" style="16" customWidth="1"/>
    <col min="5" max="16384" width="8.88671875" style="16"/>
  </cols>
  <sheetData>
    <row r="1" spans="1:4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4" x14ac:dyDescent="0.3">
      <c r="A2" s="15">
        <v>45170</v>
      </c>
    </row>
    <row r="3" spans="1:4" x14ac:dyDescent="0.3">
      <c r="A3" s="16" t="s">
        <v>85</v>
      </c>
      <c r="B3" s="16">
        <v>180</v>
      </c>
      <c r="C3" s="16">
        <v>12</v>
      </c>
      <c r="D3" s="16">
        <f>B:B*C:C</f>
        <v>2160</v>
      </c>
    </row>
    <row r="4" spans="1:4" x14ac:dyDescent="0.3">
      <c r="A4" s="16" t="s">
        <v>86</v>
      </c>
      <c r="B4" s="16">
        <v>178</v>
      </c>
      <c r="C4" s="16">
        <v>8</v>
      </c>
      <c r="D4" s="16">
        <f t="shared" ref="D4:D67" si="0">B:B*C:C</f>
        <v>1424</v>
      </c>
    </row>
    <row r="5" spans="1:4" x14ac:dyDescent="0.3">
      <c r="A5" s="20" t="s">
        <v>50</v>
      </c>
      <c r="B5" s="16">
        <v>20</v>
      </c>
      <c r="C5" s="16">
        <v>125</v>
      </c>
      <c r="D5" s="16">
        <f t="shared" si="0"/>
        <v>2500</v>
      </c>
    </row>
    <row r="6" spans="1:4" x14ac:dyDescent="0.3">
      <c r="A6" s="16" t="s">
        <v>87</v>
      </c>
      <c r="B6" s="16">
        <v>8</v>
      </c>
      <c r="C6" s="16">
        <v>150</v>
      </c>
      <c r="D6" s="16">
        <f t="shared" si="0"/>
        <v>1200</v>
      </c>
    </row>
    <row r="7" spans="1:4" x14ac:dyDescent="0.3">
      <c r="A7" s="16" t="s">
        <v>11</v>
      </c>
      <c r="B7" s="16">
        <v>1</v>
      </c>
      <c r="C7" s="16">
        <v>400</v>
      </c>
      <c r="D7" s="16">
        <f t="shared" si="0"/>
        <v>400</v>
      </c>
    </row>
    <row r="8" spans="1:4" x14ac:dyDescent="0.3">
      <c r="A8" s="16" t="s">
        <v>88</v>
      </c>
      <c r="B8" s="16">
        <v>1</v>
      </c>
      <c r="C8" s="16">
        <v>400</v>
      </c>
      <c r="D8" s="16">
        <f t="shared" si="0"/>
        <v>400</v>
      </c>
    </row>
    <row r="9" spans="1:4" x14ac:dyDescent="0.3">
      <c r="D9" s="16">
        <f t="shared" si="0"/>
        <v>0</v>
      </c>
    </row>
    <row r="10" spans="1:4" x14ac:dyDescent="0.3">
      <c r="D10" s="16">
        <f t="shared" si="0"/>
        <v>0</v>
      </c>
    </row>
    <row r="11" spans="1:4" x14ac:dyDescent="0.3">
      <c r="D11" s="16">
        <f t="shared" si="0"/>
        <v>0</v>
      </c>
    </row>
    <row r="12" spans="1:4" x14ac:dyDescent="0.3">
      <c r="A12" s="19"/>
      <c r="D12" s="16">
        <f t="shared" si="0"/>
        <v>0</v>
      </c>
    </row>
    <row r="13" spans="1:4" x14ac:dyDescent="0.3">
      <c r="A13" s="15">
        <v>45178</v>
      </c>
      <c r="D13" s="16">
        <f t="shared" si="0"/>
        <v>0</v>
      </c>
    </row>
    <row r="14" spans="1:4" x14ac:dyDescent="0.3">
      <c r="A14" s="16" t="s">
        <v>89</v>
      </c>
      <c r="B14" s="16">
        <v>18</v>
      </c>
      <c r="C14" s="16">
        <v>6</v>
      </c>
      <c r="D14" s="16">
        <f t="shared" si="0"/>
        <v>108</v>
      </c>
    </row>
    <row r="15" spans="1:4" x14ac:dyDescent="0.3">
      <c r="D15" s="16">
        <f t="shared" si="0"/>
        <v>0</v>
      </c>
    </row>
    <row r="16" spans="1:4" x14ac:dyDescent="0.3">
      <c r="D16" s="16">
        <f t="shared" si="0"/>
        <v>0</v>
      </c>
    </row>
    <row r="17" spans="1:4" x14ac:dyDescent="0.3">
      <c r="A17" s="15">
        <v>45182</v>
      </c>
      <c r="D17" s="16">
        <f t="shared" si="0"/>
        <v>0</v>
      </c>
    </row>
    <row r="18" spans="1:4" x14ac:dyDescent="0.3">
      <c r="A18" s="16" t="s">
        <v>50</v>
      </c>
      <c r="B18" s="16">
        <v>4</v>
      </c>
      <c r="C18" s="16">
        <v>125</v>
      </c>
      <c r="D18" s="16">
        <f t="shared" si="0"/>
        <v>500</v>
      </c>
    </row>
    <row r="19" spans="1:4" x14ac:dyDescent="0.3">
      <c r="A19" s="16" t="s">
        <v>55</v>
      </c>
      <c r="B19" s="16">
        <v>50</v>
      </c>
      <c r="C19" s="16">
        <v>12</v>
      </c>
      <c r="D19" s="16">
        <f t="shared" si="0"/>
        <v>600</v>
      </c>
    </row>
    <row r="20" spans="1:4" x14ac:dyDescent="0.3">
      <c r="D20" s="16">
        <f t="shared" si="0"/>
        <v>0</v>
      </c>
    </row>
    <row r="21" spans="1:4" x14ac:dyDescent="0.3">
      <c r="A21" s="20"/>
      <c r="D21" s="16">
        <f t="shared" si="0"/>
        <v>0</v>
      </c>
    </row>
    <row r="22" spans="1:4" x14ac:dyDescent="0.3">
      <c r="A22" s="15">
        <v>45184</v>
      </c>
      <c r="D22" s="16">
        <f t="shared" si="0"/>
        <v>0</v>
      </c>
    </row>
    <row r="23" spans="1:4" x14ac:dyDescent="0.3">
      <c r="A23" s="16" t="s">
        <v>90</v>
      </c>
      <c r="B23" s="16">
        <v>10</v>
      </c>
      <c r="C23" s="16">
        <v>175</v>
      </c>
      <c r="D23" s="16">
        <f t="shared" si="0"/>
        <v>1750</v>
      </c>
    </row>
    <row r="24" spans="1:4" x14ac:dyDescent="0.3">
      <c r="A24" s="16" t="s">
        <v>91</v>
      </c>
      <c r="B24" s="16">
        <v>170</v>
      </c>
      <c r="C24" s="16">
        <v>10</v>
      </c>
      <c r="D24" s="16">
        <f t="shared" si="0"/>
        <v>1700</v>
      </c>
    </row>
    <row r="25" spans="1:4" x14ac:dyDescent="0.3">
      <c r="A25" s="16" t="s">
        <v>11</v>
      </c>
      <c r="B25" s="16">
        <v>1</v>
      </c>
      <c r="C25" s="16">
        <v>400</v>
      </c>
      <c r="D25" s="16">
        <f t="shared" si="0"/>
        <v>400</v>
      </c>
    </row>
    <row r="26" spans="1:4" x14ac:dyDescent="0.3">
      <c r="A26" s="16" t="s">
        <v>41</v>
      </c>
      <c r="B26" s="16">
        <v>480</v>
      </c>
      <c r="C26" s="16">
        <v>6</v>
      </c>
      <c r="D26" s="16">
        <f t="shared" si="0"/>
        <v>2880</v>
      </c>
    </row>
    <row r="27" spans="1:4" x14ac:dyDescent="0.3">
      <c r="A27" s="16" t="s">
        <v>92</v>
      </c>
      <c r="B27" s="16">
        <v>1</v>
      </c>
      <c r="C27" s="16">
        <v>500</v>
      </c>
      <c r="D27" s="16">
        <f t="shared" si="0"/>
        <v>500</v>
      </c>
    </row>
    <row r="28" spans="1:4" x14ac:dyDescent="0.3">
      <c r="D28" s="16">
        <f>SUM(D23:D27)</f>
        <v>7230</v>
      </c>
    </row>
    <row r="29" spans="1:4" x14ac:dyDescent="0.3">
      <c r="A29" s="20"/>
      <c r="D29" s="16">
        <f t="shared" si="0"/>
        <v>0</v>
      </c>
    </row>
    <row r="30" spans="1:4" x14ac:dyDescent="0.3">
      <c r="D30" s="16">
        <f t="shared" si="0"/>
        <v>0</v>
      </c>
    </row>
    <row r="31" spans="1:4" x14ac:dyDescent="0.3">
      <c r="D31" s="16">
        <f t="shared" si="0"/>
        <v>0</v>
      </c>
    </row>
    <row r="32" spans="1:4" x14ac:dyDescent="0.3">
      <c r="A32" s="15">
        <v>45185</v>
      </c>
      <c r="D32" s="16">
        <f t="shared" si="0"/>
        <v>0</v>
      </c>
    </row>
    <row r="33" spans="1:4" x14ac:dyDescent="0.3">
      <c r="A33" s="16" t="s">
        <v>17</v>
      </c>
      <c r="B33" s="16">
        <v>90</v>
      </c>
      <c r="C33" s="16">
        <v>75</v>
      </c>
      <c r="D33" s="16">
        <f t="shared" si="0"/>
        <v>6750</v>
      </c>
    </row>
    <row r="34" spans="1:4" x14ac:dyDescent="0.3">
      <c r="D34" s="16">
        <f t="shared" si="0"/>
        <v>0</v>
      </c>
    </row>
    <row r="35" spans="1:4" x14ac:dyDescent="0.3">
      <c r="D35" s="16">
        <f t="shared" si="0"/>
        <v>0</v>
      </c>
    </row>
    <row r="36" spans="1:4" x14ac:dyDescent="0.3">
      <c r="D36" s="16">
        <f t="shared" si="0"/>
        <v>0</v>
      </c>
    </row>
    <row r="37" spans="1:4" x14ac:dyDescent="0.3">
      <c r="A37" s="15">
        <v>45191</v>
      </c>
      <c r="D37" s="16">
        <f t="shared" si="0"/>
        <v>0</v>
      </c>
    </row>
    <row r="38" spans="1:4" x14ac:dyDescent="0.3">
      <c r="A38" s="16" t="s">
        <v>93</v>
      </c>
      <c r="B38" s="16">
        <v>4</v>
      </c>
      <c r="C38" s="16">
        <v>250</v>
      </c>
      <c r="D38" s="16">
        <f t="shared" si="0"/>
        <v>1000</v>
      </c>
    </row>
    <row r="39" spans="1:4" x14ac:dyDescent="0.3">
      <c r="D39" s="16">
        <f t="shared" si="0"/>
        <v>0</v>
      </c>
    </row>
    <row r="40" spans="1:4" x14ac:dyDescent="0.3">
      <c r="A40" s="15">
        <v>45196</v>
      </c>
      <c r="D40" s="16">
        <f t="shared" si="0"/>
        <v>0</v>
      </c>
    </row>
    <row r="41" spans="1:4" x14ac:dyDescent="0.3">
      <c r="A41" s="16" t="s">
        <v>46</v>
      </c>
      <c r="B41" s="16">
        <v>4</v>
      </c>
      <c r="C41" s="16">
        <v>350</v>
      </c>
      <c r="D41" s="16">
        <f t="shared" si="0"/>
        <v>1400</v>
      </c>
    </row>
    <row r="42" spans="1:4" x14ac:dyDescent="0.3">
      <c r="D42" s="16">
        <f t="shared" si="0"/>
        <v>0</v>
      </c>
    </row>
    <row r="43" spans="1:4" x14ac:dyDescent="0.3">
      <c r="A43" s="15">
        <v>45197</v>
      </c>
      <c r="D43" s="16">
        <f t="shared" si="0"/>
        <v>0</v>
      </c>
    </row>
    <row r="44" spans="1:4" x14ac:dyDescent="0.3">
      <c r="A44" s="16" t="s">
        <v>17</v>
      </c>
      <c r="B44" s="16">
        <v>80</v>
      </c>
      <c r="C44" s="16">
        <v>75</v>
      </c>
      <c r="D44" s="16">
        <f t="shared" si="0"/>
        <v>6000</v>
      </c>
    </row>
    <row r="45" spans="1:4" x14ac:dyDescent="0.3">
      <c r="A45" s="16" t="s">
        <v>94</v>
      </c>
      <c r="B45" s="16">
        <v>4</v>
      </c>
      <c r="C45" s="16">
        <v>600</v>
      </c>
      <c r="D45" s="16">
        <f t="shared" si="0"/>
        <v>2400</v>
      </c>
    </row>
    <row r="46" spans="1:4" x14ac:dyDescent="0.3">
      <c r="A46" s="16" t="s">
        <v>95</v>
      </c>
      <c r="B46" s="16">
        <v>4</v>
      </c>
      <c r="C46" s="16">
        <v>200</v>
      </c>
      <c r="D46" s="16">
        <f t="shared" si="0"/>
        <v>800</v>
      </c>
    </row>
    <row r="47" spans="1:4" x14ac:dyDescent="0.3">
      <c r="A47" s="16" t="s">
        <v>96</v>
      </c>
      <c r="B47" s="16">
        <v>64</v>
      </c>
      <c r="C47" s="16">
        <v>16</v>
      </c>
      <c r="D47" s="16">
        <f t="shared" si="0"/>
        <v>1024</v>
      </c>
    </row>
    <row r="48" spans="1:4" x14ac:dyDescent="0.3">
      <c r="D48" s="16">
        <f>SUM(D44:D47)</f>
        <v>10224</v>
      </c>
    </row>
    <row r="49" spans="1:4" x14ac:dyDescent="0.3">
      <c r="A49" s="15">
        <v>45199</v>
      </c>
      <c r="D49" s="16">
        <f t="shared" si="0"/>
        <v>0</v>
      </c>
    </row>
    <row r="50" spans="1:4" x14ac:dyDescent="0.3">
      <c r="A50" s="16" t="s">
        <v>39</v>
      </c>
      <c r="B50" s="16">
        <v>16</v>
      </c>
      <c r="C50" s="16">
        <v>200</v>
      </c>
      <c r="D50" s="16">
        <f t="shared" si="0"/>
        <v>3200</v>
      </c>
    </row>
    <row r="51" spans="1:4" x14ac:dyDescent="0.3">
      <c r="A51" s="16" t="s">
        <v>97</v>
      </c>
      <c r="B51" s="16">
        <v>81</v>
      </c>
      <c r="C51" s="16">
        <v>16</v>
      </c>
      <c r="D51" s="16">
        <f t="shared" si="0"/>
        <v>1296</v>
      </c>
    </row>
    <row r="52" spans="1:4" x14ac:dyDescent="0.3">
      <c r="A52" s="16" t="s">
        <v>11</v>
      </c>
      <c r="B52" s="16">
        <v>2</v>
      </c>
      <c r="C52" s="16">
        <v>400</v>
      </c>
      <c r="D52" s="16">
        <f t="shared" si="0"/>
        <v>800</v>
      </c>
    </row>
    <row r="53" spans="1:4" x14ac:dyDescent="0.3">
      <c r="D53" s="16">
        <f>SUM(D50:D52)</f>
        <v>5296</v>
      </c>
    </row>
    <row r="54" spans="1:4" x14ac:dyDescent="0.3">
      <c r="D54" s="16">
        <f t="shared" si="0"/>
        <v>0</v>
      </c>
    </row>
    <row r="55" spans="1:4" x14ac:dyDescent="0.3">
      <c r="D55" s="16">
        <f t="shared" si="0"/>
        <v>0</v>
      </c>
    </row>
    <row r="56" spans="1:4" x14ac:dyDescent="0.3">
      <c r="D56" s="16">
        <f t="shared" si="0"/>
        <v>0</v>
      </c>
    </row>
    <row r="57" spans="1:4" x14ac:dyDescent="0.3">
      <c r="D57" s="16">
        <f t="shared" si="0"/>
        <v>0</v>
      </c>
    </row>
    <row r="58" spans="1:4" x14ac:dyDescent="0.3">
      <c r="D58" s="16">
        <f t="shared" si="0"/>
        <v>0</v>
      </c>
    </row>
    <row r="59" spans="1:4" x14ac:dyDescent="0.3">
      <c r="D59" s="16">
        <f t="shared" si="0"/>
        <v>0</v>
      </c>
    </row>
    <row r="60" spans="1:4" x14ac:dyDescent="0.3">
      <c r="D60" s="16">
        <f t="shared" si="0"/>
        <v>0</v>
      </c>
    </row>
    <row r="61" spans="1:4" x14ac:dyDescent="0.3">
      <c r="D61" s="16">
        <f t="shared" si="0"/>
        <v>0</v>
      </c>
    </row>
    <row r="62" spans="1:4" x14ac:dyDescent="0.3">
      <c r="D62" s="16">
        <f t="shared" si="0"/>
        <v>0</v>
      </c>
    </row>
    <row r="63" spans="1:4" x14ac:dyDescent="0.3">
      <c r="D63" s="16">
        <f t="shared" si="0"/>
        <v>0</v>
      </c>
    </row>
    <row r="64" spans="1:4" x14ac:dyDescent="0.3">
      <c r="D64" s="16">
        <f t="shared" si="0"/>
        <v>0</v>
      </c>
    </row>
    <row r="65" spans="4:4" x14ac:dyDescent="0.3">
      <c r="D65" s="16">
        <f t="shared" si="0"/>
        <v>0</v>
      </c>
    </row>
    <row r="66" spans="4:4" x14ac:dyDescent="0.3">
      <c r="D66" s="16">
        <f t="shared" si="0"/>
        <v>0</v>
      </c>
    </row>
    <row r="67" spans="4:4" x14ac:dyDescent="0.3">
      <c r="D67" s="16">
        <f t="shared" si="0"/>
        <v>0</v>
      </c>
    </row>
    <row r="68" spans="4:4" x14ac:dyDescent="0.3">
      <c r="D68" s="16">
        <f t="shared" ref="D68:D74" si="1">B:B*C:C</f>
        <v>0</v>
      </c>
    </row>
    <row r="69" spans="4:4" x14ac:dyDescent="0.3">
      <c r="D69" s="16">
        <f t="shared" si="1"/>
        <v>0</v>
      </c>
    </row>
    <row r="70" spans="4:4" x14ac:dyDescent="0.3">
      <c r="D70" s="16">
        <f t="shared" si="1"/>
        <v>0</v>
      </c>
    </row>
    <row r="71" spans="4:4" x14ac:dyDescent="0.3">
      <c r="D71" s="16">
        <f t="shared" si="1"/>
        <v>0</v>
      </c>
    </row>
    <row r="72" spans="4:4" x14ac:dyDescent="0.3">
      <c r="D72" s="16">
        <f t="shared" si="1"/>
        <v>0</v>
      </c>
    </row>
    <row r="73" spans="4:4" x14ac:dyDescent="0.3">
      <c r="D73" s="16">
        <f t="shared" si="1"/>
        <v>0</v>
      </c>
    </row>
    <row r="74" spans="4:4" x14ac:dyDescent="0.3">
      <c r="D74" s="16">
        <f t="shared" si="1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opLeftCell="A53" workbookViewId="0">
      <selection activeCell="D66" sqref="D66:D68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13.33203125" style="16" customWidth="1"/>
    <col min="5" max="16384" width="8.88671875" style="16"/>
  </cols>
  <sheetData>
    <row r="1" spans="1:4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4" x14ac:dyDescent="0.3">
      <c r="A2" s="15">
        <v>45205</v>
      </c>
    </row>
    <row r="3" spans="1:4" x14ac:dyDescent="0.3">
      <c r="A3" s="16" t="s">
        <v>39</v>
      </c>
      <c r="B3" s="16">
        <v>8</v>
      </c>
      <c r="C3" s="16">
        <v>200</v>
      </c>
      <c r="D3" s="16">
        <f>B:B*C:C</f>
        <v>1600</v>
      </c>
    </row>
    <row r="5" spans="1:4" x14ac:dyDescent="0.3">
      <c r="A5" s="20"/>
    </row>
    <row r="6" spans="1:4" x14ac:dyDescent="0.3">
      <c r="A6" s="15">
        <v>45214</v>
      </c>
    </row>
    <row r="7" spans="1:4" x14ac:dyDescent="0.3">
      <c r="A7" s="16" t="s">
        <v>17</v>
      </c>
      <c r="B7" s="16">
        <v>50</v>
      </c>
      <c r="C7" s="16">
        <v>75</v>
      </c>
      <c r="D7" s="16">
        <f t="shared" ref="D7:D12" si="0">B:B*C:C</f>
        <v>3750</v>
      </c>
    </row>
    <row r="8" spans="1:4" x14ac:dyDescent="0.3">
      <c r="A8" s="16" t="s">
        <v>50</v>
      </c>
      <c r="B8" s="16">
        <v>8</v>
      </c>
      <c r="C8" s="16">
        <v>125</v>
      </c>
      <c r="D8" s="16">
        <f t="shared" si="0"/>
        <v>1000</v>
      </c>
    </row>
    <row r="9" spans="1:4" x14ac:dyDescent="0.3">
      <c r="A9" s="16" t="s">
        <v>98</v>
      </c>
      <c r="B9" s="16">
        <v>6</v>
      </c>
      <c r="C9" s="16">
        <v>300</v>
      </c>
      <c r="D9" s="16">
        <f t="shared" si="0"/>
        <v>1800</v>
      </c>
    </row>
    <row r="10" spans="1:4" x14ac:dyDescent="0.3">
      <c r="A10" s="16" t="s">
        <v>39</v>
      </c>
      <c r="B10" s="16">
        <v>8</v>
      </c>
      <c r="C10" s="16">
        <v>200</v>
      </c>
      <c r="D10" s="16">
        <f t="shared" si="0"/>
        <v>1600</v>
      </c>
    </row>
    <row r="11" spans="1:4" x14ac:dyDescent="0.3">
      <c r="A11" s="16" t="s">
        <v>99</v>
      </c>
      <c r="B11" s="16">
        <v>200</v>
      </c>
      <c r="C11" s="16">
        <v>6</v>
      </c>
      <c r="D11" s="16">
        <f t="shared" si="0"/>
        <v>1200</v>
      </c>
    </row>
    <row r="12" spans="1:4" x14ac:dyDescent="0.3">
      <c r="A12" s="19" t="s">
        <v>60</v>
      </c>
      <c r="B12" s="16">
        <v>136</v>
      </c>
      <c r="C12" s="16">
        <v>10</v>
      </c>
      <c r="D12" s="16">
        <f t="shared" si="0"/>
        <v>1360</v>
      </c>
    </row>
    <row r="13" spans="1:4" x14ac:dyDescent="0.3">
      <c r="D13" s="16">
        <f>SUM(D7:D12)</f>
        <v>10710</v>
      </c>
    </row>
    <row r="15" spans="1:4" x14ac:dyDescent="0.3">
      <c r="A15" s="15">
        <v>45219</v>
      </c>
    </row>
    <row r="16" spans="1:4" x14ac:dyDescent="0.3">
      <c r="A16" s="16" t="s">
        <v>44</v>
      </c>
      <c r="B16" s="16">
        <v>2</v>
      </c>
      <c r="C16" s="16">
        <v>400</v>
      </c>
      <c r="D16" s="16">
        <v>800</v>
      </c>
    </row>
    <row r="20" spans="1:4" x14ac:dyDescent="0.3">
      <c r="A20" s="15">
        <v>45220</v>
      </c>
    </row>
    <row r="21" spans="1:4" x14ac:dyDescent="0.3">
      <c r="A21" s="16" t="s">
        <v>100</v>
      </c>
      <c r="B21" s="16">
        <v>6</v>
      </c>
      <c r="C21" s="16">
        <v>200</v>
      </c>
      <c r="D21" s="16">
        <f t="shared" ref="D21:D29" si="1">B:B*C:C</f>
        <v>1200</v>
      </c>
    </row>
    <row r="22" spans="1:4" x14ac:dyDescent="0.3">
      <c r="A22" s="16" t="s">
        <v>101</v>
      </c>
      <c r="B22" s="16">
        <v>2</v>
      </c>
      <c r="C22" s="16">
        <v>125</v>
      </c>
      <c r="D22" s="16">
        <f t="shared" si="1"/>
        <v>250</v>
      </c>
    </row>
    <row r="23" spans="1:4" x14ac:dyDescent="0.3">
      <c r="A23" s="16" t="s">
        <v>102</v>
      </c>
      <c r="B23" s="16">
        <v>200</v>
      </c>
      <c r="C23" s="16">
        <v>10</v>
      </c>
      <c r="D23" s="16">
        <f t="shared" si="1"/>
        <v>2000</v>
      </c>
    </row>
    <row r="24" spans="1:4" x14ac:dyDescent="0.3">
      <c r="A24" s="16" t="s">
        <v>103</v>
      </c>
      <c r="B24" s="16">
        <v>1</v>
      </c>
      <c r="C24" s="16">
        <v>400</v>
      </c>
      <c r="D24" s="16">
        <f t="shared" si="1"/>
        <v>400</v>
      </c>
    </row>
    <row r="25" spans="1:4" x14ac:dyDescent="0.3">
      <c r="A25" s="16" t="s">
        <v>118</v>
      </c>
      <c r="B25" s="16">
        <v>2</v>
      </c>
      <c r="C25" s="16">
        <v>75</v>
      </c>
      <c r="D25" s="16">
        <f t="shared" si="1"/>
        <v>150</v>
      </c>
    </row>
    <row r="26" spans="1:4" x14ac:dyDescent="0.3">
      <c r="A26" s="20" t="s">
        <v>121</v>
      </c>
      <c r="B26" s="16">
        <v>2</v>
      </c>
      <c r="C26" s="16">
        <v>50</v>
      </c>
      <c r="D26" s="16">
        <f t="shared" si="1"/>
        <v>100</v>
      </c>
    </row>
    <row r="27" spans="1:4" x14ac:dyDescent="0.3">
      <c r="A27" s="16" t="s">
        <v>122</v>
      </c>
      <c r="B27" s="16">
        <v>54</v>
      </c>
      <c r="C27" s="16">
        <v>12</v>
      </c>
      <c r="D27" s="16">
        <f t="shared" si="1"/>
        <v>648</v>
      </c>
    </row>
    <row r="28" spans="1:4" x14ac:dyDescent="0.3">
      <c r="A28" s="16" t="s">
        <v>123</v>
      </c>
      <c r="B28" s="16">
        <v>100</v>
      </c>
      <c r="C28" s="16">
        <v>6</v>
      </c>
      <c r="D28" s="16">
        <f t="shared" si="1"/>
        <v>600</v>
      </c>
    </row>
    <row r="29" spans="1:4" x14ac:dyDescent="0.3">
      <c r="D29" s="16">
        <f t="shared" si="1"/>
        <v>0</v>
      </c>
    </row>
    <row r="30" spans="1:4" x14ac:dyDescent="0.3">
      <c r="D30" s="16">
        <f>SUM(D21:D28)</f>
        <v>5348</v>
      </c>
    </row>
    <row r="33" spans="1:4" x14ac:dyDescent="0.3">
      <c r="A33" s="15">
        <v>45220</v>
      </c>
    </row>
    <row r="34" spans="1:4" x14ac:dyDescent="0.3">
      <c r="A34" s="16" t="s">
        <v>104</v>
      </c>
      <c r="B34" s="16">
        <v>1</v>
      </c>
      <c r="C34" s="16">
        <v>250</v>
      </c>
      <c r="D34" s="16">
        <v>250</v>
      </c>
    </row>
    <row r="36" spans="1:4" x14ac:dyDescent="0.3">
      <c r="A36" s="15">
        <v>45220</v>
      </c>
    </row>
    <row r="37" spans="1:4" x14ac:dyDescent="0.3">
      <c r="A37" s="16" t="s">
        <v>105</v>
      </c>
      <c r="B37" s="16">
        <v>10</v>
      </c>
      <c r="C37" s="16">
        <v>150</v>
      </c>
      <c r="D37" s="16">
        <f t="shared" ref="D37:D54" si="2">B:B*C:C</f>
        <v>1500</v>
      </c>
    </row>
    <row r="38" spans="1:4" x14ac:dyDescent="0.3">
      <c r="A38" s="16" t="s">
        <v>106</v>
      </c>
      <c r="B38" s="16">
        <v>10</v>
      </c>
      <c r="C38" s="16">
        <v>175</v>
      </c>
      <c r="D38" s="16">
        <f t="shared" si="2"/>
        <v>1750</v>
      </c>
    </row>
    <row r="39" spans="1:4" x14ac:dyDescent="0.3">
      <c r="A39" s="16" t="s">
        <v>44</v>
      </c>
      <c r="B39" s="16">
        <v>2</v>
      </c>
      <c r="C39" s="16">
        <v>400</v>
      </c>
      <c r="D39" s="16">
        <f t="shared" si="2"/>
        <v>800</v>
      </c>
    </row>
    <row r="40" spans="1:4" x14ac:dyDescent="0.3">
      <c r="A40" s="20" t="s">
        <v>82</v>
      </c>
      <c r="B40" s="16">
        <v>20</v>
      </c>
      <c r="C40" s="16">
        <v>15</v>
      </c>
      <c r="D40" s="16">
        <f t="shared" si="2"/>
        <v>300</v>
      </c>
    </row>
    <row r="41" spans="1:4" x14ac:dyDescent="0.3">
      <c r="A41" s="16" t="s">
        <v>107</v>
      </c>
      <c r="B41" s="16">
        <v>120</v>
      </c>
      <c r="C41" s="16">
        <v>2.5</v>
      </c>
      <c r="D41" s="16">
        <f t="shared" si="2"/>
        <v>300</v>
      </c>
    </row>
    <row r="42" spans="1:4" x14ac:dyDescent="0.3">
      <c r="A42" s="16" t="s">
        <v>108</v>
      </c>
      <c r="B42" s="16">
        <v>120</v>
      </c>
      <c r="C42" s="16">
        <v>2.5</v>
      </c>
      <c r="D42" s="16">
        <f t="shared" si="2"/>
        <v>300</v>
      </c>
    </row>
    <row r="43" spans="1:4" x14ac:dyDescent="0.3">
      <c r="A43" s="16" t="s">
        <v>109</v>
      </c>
      <c r="B43" s="16">
        <v>120</v>
      </c>
      <c r="C43" s="16">
        <v>2.5</v>
      </c>
      <c r="D43" s="16">
        <f t="shared" si="2"/>
        <v>300</v>
      </c>
    </row>
    <row r="44" spans="1:4" x14ac:dyDescent="0.3">
      <c r="A44" s="16" t="s">
        <v>110</v>
      </c>
      <c r="B44" s="16">
        <v>80</v>
      </c>
      <c r="C44" s="16">
        <v>2.5</v>
      </c>
      <c r="D44" s="16">
        <f t="shared" si="2"/>
        <v>200</v>
      </c>
    </row>
    <row r="45" spans="1:4" x14ac:dyDescent="0.3">
      <c r="A45" s="16" t="s">
        <v>111</v>
      </c>
      <c r="B45" s="16">
        <v>120</v>
      </c>
      <c r="C45" s="16">
        <v>2.5</v>
      </c>
      <c r="D45" s="16">
        <f t="shared" si="2"/>
        <v>300</v>
      </c>
    </row>
    <row r="46" spans="1:4" x14ac:dyDescent="0.3">
      <c r="A46" s="16" t="s">
        <v>112</v>
      </c>
      <c r="B46" s="16">
        <v>80</v>
      </c>
      <c r="C46" s="16">
        <v>2.5</v>
      </c>
      <c r="D46" s="16">
        <f t="shared" si="2"/>
        <v>200</v>
      </c>
    </row>
    <row r="47" spans="1:4" x14ac:dyDescent="0.3">
      <c r="A47" s="16" t="s">
        <v>113</v>
      </c>
      <c r="B47" s="16">
        <v>10</v>
      </c>
      <c r="C47" s="16">
        <v>2.5</v>
      </c>
      <c r="D47" s="16">
        <f t="shared" si="2"/>
        <v>25</v>
      </c>
    </row>
    <row r="48" spans="1:4" x14ac:dyDescent="0.3">
      <c r="A48" s="20" t="s">
        <v>114</v>
      </c>
      <c r="B48" s="16">
        <v>6</v>
      </c>
      <c r="C48" s="16">
        <v>25</v>
      </c>
      <c r="D48" s="16">
        <f t="shared" si="2"/>
        <v>150</v>
      </c>
    </row>
    <row r="49" spans="1:4" x14ac:dyDescent="0.3">
      <c r="A49" s="16" t="s">
        <v>115</v>
      </c>
      <c r="B49" s="16">
        <v>4</v>
      </c>
      <c r="C49" s="16">
        <v>25</v>
      </c>
      <c r="D49" s="16">
        <f t="shared" si="2"/>
        <v>100</v>
      </c>
    </row>
    <row r="50" spans="1:4" x14ac:dyDescent="0.3">
      <c r="A50" s="16" t="s">
        <v>116</v>
      </c>
      <c r="B50" s="16">
        <v>30</v>
      </c>
      <c r="C50" s="16">
        <v>2.5</v>
      </c>
      <c r="D50" s="16">
        <f t="shared" si="2"/>
        <v>75</v>
      </c>
    </row>
    <row r="51" spans="1:4" x14ac:dyDescent="0.3">
      <c r="A51" s="20" t="s">
        <v>117</v>
      </c>
      <c r="B51" s="16">
        <v>2</v>
      </c>
      <c r="C51" s="16">
        <v>150</v>
      </c>
      <c r="D51" s="16">
        <f t="shared" si="2"/>
        <v>300</v>
      </c>
    </row>
    <row r="52" spans="1:4" x14ac:dyDescent="0.3">
      <c r="A52" s="16" t="s">
        <v>118</v>
      </c>
      <c r="B52" s="16">
        <v>4</v>
      </c>
      <c r="C52" s="16">
        <v>75</v>
      </c>
      <c r="D52" s="16">
        <f t="shared" si="2"/>
        <v>300</v>
      </c>
    </row>
    <row r="53" spans="1:4" x14ac:dyDescent="0.3">
      <c r="A53" s="16" t="s">
        <v>119</v>
      </c>
      <c r="B53" s="16">
        <v>4</v>
      </c>
      <c r="C53" s="16">
        <v>75</v>
      </c>
      <c r="D53" s="16">
        <f t="shared" si="2"/>
        <v>300</v>
      </c>
    </row>
    <row r="54" spans="1:4" x14ac:dyDescent="0.3">
      <c r="A54" s="20" t="s">
        <v>120</v>
      </c>
      <c r="B54" s="16">
        <v>20</v>
      </c>
      <c r="C54" s="16">
        <v>2.5</v>
      </c>
      <c r="D54" s="16">
        <f t="shared" si="2"/>
        <v>50</v>
      </c>
    </row>
    <row r="55" spans="1:4" x14ac:dyDescent="0.3">
      <c r="D55" s="16">
        <f>SUM(D37:D54)</f>
        <v>7250</v>
      </c>
    </row>
    <row r="57" spans="1:4" x14ac:dyDescent="0.3">
      <c r="A57" s="15">
        <v>45222</v>
      </c>
    </row>
    <row r="58" spans="1:4" x14ac:dyDescent="0.3">
      <c r="A58" s="16" t="s">
        <v>124</v>
      </c>
      <c r="B58" s="16">
        <v>4</v>
      </c>
      <c r="C58" s="16">
        <v>175</v>
      </c>
      <c r="D58" s="16">
        <f>B:B*C:C</f>
        <v>700</v>
      </c>
    </row>
    <row r="59" spans="1:4" x14ac:dyDescent="0.3">
      <c r="A59" s="16" t="s">
        <v>125</v>
      </c>
      <c r="B59" s="16">
        <v>4</v>
      </c>
      <c r="C59" s="16">
        <v>150</v>
      </c>
      <c r="D59" s="16">
        <f t="shared" ref="D59:D62" si="3">B:B*C:C</f>
        <v>600</v>
      </c>
    </row>
    <row r="60" spans="1:4" x14ac:dyDescent="0.3">
      <c r="A60" s="20" t="s">
        <v>126</v>
      </c>
      <c r="B60" s="16">
        <v>16</v>
      </c>
      <c r="C60" s="16">
        <v>35</v>
      </c>
      <c r="D60" s="16">
        <f t="shared" si="3"/>
        <v>560</v>
      </c>
    </row>
    <row r="61" spans="1:4" x14ac:dyDescent="0.3">
      <c r="A61" s="16" t="s">
        <v>82</v>
      </c>
      <c r="B61" s="16">
        <v>30</v>
      </c>
      <c r="C61" s="16">
        <v>15</v>
      </c>
      <c r="D61" s="16">
        <f t="shared" si="3"/>
        <v>450</v>
      </c>
    </row>
    <row r="62" spans="1:4" x14ac:dyDescent="0.3">
      <c r="A62" s="16" t="s">
        <v>127</v>
      </c>
      <c r="B62" s="16">
        <v>1</v>
      </c>
      <c r="C62" s="16">
        <v>150</v>
      </c>
      <c r="D62" s="16">
        <f t="shared" si="3"/>
        <v>150</v>
      </c>
    </row>
    <row r="63" spans="1:4" x14ac:dyDescent="0.3">
      <c r="D63" s="16">
        <f>SUM(D58:D62)</f>
        <v>2460</v>
      </c>
    </row>
    <row r="65" spans="1:4" x14ac:dyDescent="0.3">
      <c r="A65" s="15">
        <v>45228</v>
      </c>
    </row>
    <row r="66" spans="1:4" x14ac:dyDescent="0.3">
      <c r="A66" s="16" t="s">
        <v>128</v>
      </c>
      <c r="B66" s="16">
        <v>15</v>
      </c>
      <c r="C66" s="16">
        <v>150</v>
      </c>
      <c r="D66" s="16">
        <f>B:B*C:C</f>
        <v>2250</v>
      </c>
    </row>
    <row r="67" spans="1:4" x14ac:dyDescent="0.3">
      <c r="A67" s="16" t="s">
        <v>129</v>
      </c>
      <c r="B67" s="16">
        <v>10</v>
      </c>
      <c r="C67" s="16">
        <v>175</v>
      </c>
      <c r="D67" s="16">
        <f>B:B*C:C</f>
        <v>1750</v>
      </c>
    </row>
    <row r="68" spans="1:4" x14ac:dyDescent="0.3">
      <c r="D68" s="16">
        <f>SUM(D66:D67)</f>
        <v>4000</v>
      </c>
    </row>
    <row r="70" spans="1:4" x14ac:dyDescent="0.3">
      <c r="D70" s="16">
        <f t="shared" ref="D70:D76" si="4">B:B*C:C</f>
        <v>0</v>
      </c>
    </row>
    <row r="71" spans="1:4" x14ac:dyDescent="0.3">
      <c r="D71" s="16">
        <f t="shared" si="4"/>
        <v>0</v>
      </c>
    </row>
    <row r="72" spans="1:4" x14ac:dyDescent="0.3">
      <c r="D72" s="16">
        <f t="shared" si="4"/>
        <v>0</v>
      </c>
    </row>
    <row r="73" spans="1:4" x14ac:dyDescent="0.3">
      <c r="D73" s="16">
        <f t="shared" si="4"/>
        <v>0</v>
      </c>
    </row>
    <row r="74" spans="1:4" x14ac:dyDescent="0.3">
      <c r="D74" s="16">
        <f t="shared" si="4"/>
        <v>0</v>
      </c>
    </row>
    <row r="75" spans="1:4" x14ac:dyDescent="0.3">
      <c r="D75" s="16">
        <f t="shared" si="4"/>
        <v>0</v>
      </c>
    </row>
    <row r="76" spans="1:4" x14ac:dyDescent="0.3">
      <c r="D76" s="16">
        <f t="shared" si="4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workbookViewId="0">
      <selection activeCell="J11" sqref="J11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13.33203125" style="16" customWidth="1"/>
    <col min="5" max="16384" width="8.88671875" style="16"/>
  </cols>
  <sheetData>
    <row r="1" spans="1:4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4" x14ac:dyDescent="0.3">
      <c r="A2" s="15">
        <v>45234</v>
      </c>
    </row>
    <row r="3" spans="1:4" x14ac:dyDescent="0.3">
      <c r="A3" s="16" t="s">
        <v>129</v>
      </c>
      <c r="B3" s="16">
        <v>4</v>
      </c>
      <c r="C3" s="16">
        <v>175</v>
      </c>
      <c r="D3" s="16">
        <f>B:B*C:C</f>
        <v>700</v>
      </c>
    </row>
    <row r="4" spans="1:4" x14ac:dyDescent="0.3">
      <c r="A4" s="16" t="s">
        <v>132</v>
      </c>
      <c r="B4" s="16">
        <v>16</v>
      </c>
      <c r="C4" s="16">
        <v>35</v>
      </c>
      <c r="D4" s="16">
        <f t="shared" ref="D4:D6" si="0">B:B*C:C</f>
        <v>560</v>
      </c>
    </row>
    <row r="5" spans="1:4" x14ac:dyDescent="0.3">
      <c r="A5" s="20" t="s">
        <v>133</v>
      </c>
      <c r="B5" s="16">
        <v>1</v>
      </c>
      <c r="C5" s="16">
        <v>250</v>
      </c>
      <c r="D5" s="16">
        <f t="shared" si="0"/>
        <v>250</v>
      </c>
    </row>
    <row r="6" spans="1:4" x14ac:dyDescent="0.3">
      <c r="D6" s="16">
        <f t="shared" si="0"/>
        <v>0</v>
      </c>
    </row>
    <row r="7" spans="1:4" x14ac:dyDescent="0.3">
      <c r="D7" s="16">
        <f>SUM(D3:D5)</f>
        <v>1510</v>
      </c>
    </row>
    <row r="11" spans="1:4" x14ac:dyDescent="0.3">
      <c r="A11" s="15">
        <v>45255</v>
      </c>
    </row>
    <row r="12" spans="1:4" x14ac:dyDescent="0.3">
      <c r="A12" s="19" t="s">
        <v>17</v>
      </c>
      <c r="B12" s="16">
        <v>50</v>
      </c>
      <c r="C12" s="16">
        <v>75</v>
      </c>
      <c r="D12" s="16">
        <f>B:B*C:C</f>
        <v>3750</v>
      </c>
    </row>
    <row r="13" spans="1:4" x14ac:dyDescent="0.3">
      <c r="A13" s="16" t="s">
        <v>134</v>
      </c>
      <c r="B13" s="16">
        <v>4</v>
      </c>
      <c r="C13" s="16">
        <v>300</v>
      </c>
      <c r="D13" s="16">
        <f t="shared" ref="D13:D14" si="1">B:B*C:C</f>
        <v>1200</v>
      </c>
    </row>
    <row r="14" spans="1:4" x14ac:dyDescent="0.3">
      <c r="A14" s="16" t="s">
        <v>50</v>
      </c>
      <c r="B14" s="16">
        <v>6</v>
      </c>
      <c r="C14" s="16">
        <v>125</v>
      </c>
      <c r="D14" s="16">
        <f t="shared" si="1"/>
        <v>750</v>
      </c>
    </row>
    <row r="15" spans="1:4" x14ac:dyDescent="0.3">
      <c r="A15" s="20" t="s">
        <v>39</v>
      </c>
      <c r="B15" s="16">
        <v>6</v>
      </c>
      <c r="C15" s="16">
        <v>200</v>
      </c>
      <c r="D15" s="16">
        <f>B:B*C:C</f>
        <v>1200</v>
      </c>
    </row>
    <row r="16" spans="1:4" x14ac:dyDescent="0.3">
      <c r="A16" s="16" t="s">
        <v>102</v>
      </c>
      <c r="B16" s="16">
        <v>102</v>
      </c>
      <c r="C16" s="16">
        <v>10</v>
      </c>
      <c r="D16" s="16">
        <f>B:B*C:C</f>
        <v>1020</v>
      </c>
    </row>
    <row r="17" spans="1:4" x14ac:dyDescent="0.3">
      <c r="A17" s="16" t="s">
        <v>123</v>
      </c>
      <c r="B17" s="16">
        <v>30</v>
      </c>
      <c r="C17" s="16">
        <v>6</v>
      </c>
      <c r="D17" s="16">
        <f>B:B*C:C</f>
        <v>180</v>
      </c>
    </row>
    <row r="18" spans="1:4" x14ac:dyDescent="0.3">
      <c r="D18" s="16">
        <f>SUM(D12:D17)</f>
        <v>8100</v>
      </c>
    </row>
    <row r="20" spans="1:4" x14ac:dyDescent="0.3">
      <c r="A20" s="20"/>
    </row>
    <row r="26" spans="1:4" x14ac:dyDescent="0.3">
      <c r="A26" s="20"/>
    </row>
    <row r="33" spans="1:1" x14ac:dyDescent="0.3">
      <c r="A33" s="15"/>
    </row>
    <row r="36" spans="1:1" x14ac:dyDescent="0.3">
      <c r="A36" s="15"/>
    </row>
    <row r="40" spans="1:1" x14ac:dyDescent="0.3">
      <c r="A40" s="20"/>
    </row>
    <row r="48" spans="1:1" x14ac:dyDescent="0.3">
      <c r="A48" s="20"/>
    </row>
    <row r="51" spans="1:1" x14ac:dyDescent="0.3">
      <c r="A51" s="20"/>
    </row>
    <row r="54" spans="1:1" x14ac:dyDescent="0.3">
      <c r="A54" s="20"/>
    </row>
    <row r="57" spans="1:1" x14ac:dyDescent="0.3">
      <c r="A57" s="15"/>
    </row>
    <row r="60" spans="1:1" x14ac:dyDescent="0.3">
      <c r="A60" s="20"/>
    </row>
    <row r="65" spans="1:10" x14ac:dyDescent="0.3">
      <c r="A65" s="15"/>
    </row>
    <row r="68" spans="1:10" x14ac:dyDescent="0.3">
      <c r="J68" s="16">
        <v>4</v>
      </c>
    </row>
    <row r="70" spans="1:10" x14ac:dyDescent="0.3">
      <c r="D70" s="16">
        <f t="shared" ref="D70:D76" si="2">B:B*C:C</f>
        <v>0</v>
      </c>
    </row>
    <row r="71" spans="1:10" x14ac:dyDescent="0.3">
      <c r="D71" s="16">
        <f t="shared" si="2"/>
        <v>0</v>
      </c>
    </row>
    <row r="72" spans="1:10" x14ac:dyDescent="0.3">
      <c r="D72" s="16">
        <f t="shared" si="2"/>
        <v>0</v>
      </c>
    </row>
    <row r="73" spans="1:10" x14ac:dyDescent="0.3">
      <c r="D73" s="16">
        <f t="shared" si="2"/>
        <v>0</v>
      </c>
    </row>
    <row r="74" spans="1:10" x14ac:dyDescent="0.3">
      <c r="D74" s="16">
        <f t="shared" si="2"/>
        <v>0</v>
      </c>
    </row>
    <row r="75" spans="1:10" x14ac:dyDescent="0.3">
      <c r="D75" s="16">
        <f t="shared" si="2"/>
        <v>0</v>
      </c>
    </row>
    <row r="76" spans="1:10" x14ac:dyDescent="0.3">
      <c r="D76" s="16">
        <f t="shared" si="2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>
      <selection activeCell="B23" sqref="B23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13.33203125" style="16" customWidth="1"/>
    <col min="5" max="16384" width="8.88671875" style="16"/>
  </cols>
  <sheetData>
    <row r="1" spans="1:4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4" x14ac:dyDescent="0.3">
      <c r="A2" s="15">
        <v>45262</v>
      </c>
    </row>
    <row r="3" spans="1:4" x14ac:dyDescent="0.3">
      <c r="A3" s="16" t="s">
        <v>80</v>
      </c>
      <c r="B3" s="16">
        <v>12</v>
      </c>
      <c r="C3" s="16">
        <v>75</v>
      </c>
      <c r="D3" s="16">
        <f>B:B*C:C</f>
        <v>900</v>
      </c>
    </row>
    <row r="4" spans="1:4" x14ac:dyDescent="0.3">
      <c r="A4" s="16" t="s">
        <v>135</v>
      </c>
      <c r="B4" s="16">
        <v>1</v>
      </c>
      <c r="C4" s="16">
        <v>400</v>
      </c>
      <c r="D4" s="16">
        <f>B:B*C:C</f>
        <v>400</v>
      </c>
    </row>
    <row r="5" spans="1:4" x14ac:dyDescent="0.3">
      <c r="D5" s="16">
        <f>SUM(D3:D4)</f>
        <v>1300</v>
      </c>
    </row>
    <row r="7" spans="1:4" x14ac:dyDescent="0.3">
      <c r="A7" s="15">
        <v>45276</v>
      </c>
    </row>
    <row r="8" spans="1:4" x14ac:dyDescent="0.3">
      <c r="A8" s="16" t="s">
        <v>136</v>
      </c>
      <c r="B8" s="16">
        <v>2</v>
      </c>
      <c r="C8" s="16">
        <v>150</v>
      </c>
      <c r="D8" s="16">
        <v>300</v>
      </c>
    </row>
    <row r="9" spans="1:4" x14ac:dyDescent="0.3">
      <c r="A9" s="16" t="s">
        <v>17</v>
      </c>
      <c r="B9" s="16">
        <v>45</v>
      </c>
      <c r="C9" s="16">
        <v>75</v>
      </c>
      <c r="D9" s="16">
        <f>B:B*C:C</f>
        <v>3375</v>
      </c>
    </row>
    <row r="10" spans="1:4" x14ac:dyDescent="0.3">
      <c r="D10" s="16">
        <f>SUM(D8:D9)</f>
        <v>3675</v>
      </c>
    </row>
    <row r="13" spans="1:4" x14ac:dyDescent="0.3">
      <c r="A13" s="15">
        <v>45282</v>
      </c>
    </row>
    <row r="14" spans="1:4" x14ac:dyDescent="0.3">
      <c r="A14" s="16" t="s">
        <v>87</v>
      </c>
      <c r="B14" s="16">
        <v>6</v>
      </c>
      <c r="C14" s="16">
        <v>150</v>
      </c>
      <c r="D14" s="16">
        <f>B:B*C:C</f>
        <v>900</v>
      </c>
    </row>
    <row r="17" spans="1:4" x14ac:dyDescent="0.3">
      <c r="A17" s="15">
        <v>45283</v>
      </c>
    </row>
    <row r="18" spans="1:4" x14ac:dyDescent="0.3">
      <c r="A18" s="20" t="s">
        <v>137</v>
      </c>
      <c r="B18" s="16">
        <v>2</v>
      </c>
      <c r="C18" s="16">
        <v>350</v>
      </c>
      <c r="D18" s="16">
        <v>700</v>
      </c>
    </row>
    <row r="20" spans="1:4" x14ac:dyDescent="0.3">
      <c r="A20" s="19"/>
    </row>
    <row r="21" spans="1:4" x14ac:dyDescent="0.3">
      <c r="A21" s="15">
        <v>45289</v>
      </c>
    </row>
    <row r="22" spans="1:4" x14ac:dyDescent="0.3">
      <c r="A22" s="16" t="s">
        <v>87</v>
      </c>
      <c r="B22" s="16">
        <v>15</v>
      </c>
      <c r="C22" s="16">
        <v>150</v>
      </c>
      <c r="D22" s="16">
        <f>B:B*C:C</f>
        <v>2250</v>
      </c>
    </row>
    <row r="23" spans="1:4" x14ac:dyDescent="0.3">
      <c r="A23" s="20"/>
    </row>
    <row r="31" spans="1:4" x14ac:dyDescent="0.3">
      <c r="A31" s="20"/>
    </row>
    <row r="39" spans="1:1" x14ac:dyDescent="0.3">
      <c r="A39" s="20"/>
    </row>
    <row r="42" spans="1:1" x14ac:dyDescent="0.3">
      <c r="A42" s="20"/>
    </row>
    <row r="45" spans="1:1" x14ac:dyDescent="0.3">
      <c r="A45" s="20"/>
    </row>
    <row r="48" spans="1:1" x14ac:dyDescent="0.3">
      <c r="A48" s="15"/>
    </row>
    <row r="51" spans="1:10" x14ac:dyDescent="0.3">
      <c r="A51" s="20"/>
    </row>
    <row r="56" spans="1:10" x14ac:dyDescent="0.3">
      <c r="A56" s="15"/>
    </row>
    <row r="59" spans="1:10" x14ac:dyDescent="0.3">
      <c r="J59" s="16">
        <v>4</v>
      </c>
    </row>
    <row r="61" spans="1:10" x14ac:dyDescent="0.3">
      <c r="D61" s="16">
        <f t="shared" ref="D61:D67" si="0">B:B*C:C</f>
        <v>0</v>
      </c>
    </row>
    <row r="62" spans="1:10" x14ac:dyDescent="0.3">
      <c r="D62" s="16">
        <f t="shared" si="0"/>
        <v>0</v>
      </c>
    </row>
    <row r="63" spans="1:10" x14ac:dyDescent="0.3">
      <c r="D63" s="16">
        <f t="shared" si="0"/>
        <v>0</v>
      </c>
    </row>
    <row r="64" spans="1:10" x14ac:dyDescent="0.3">
      <c r="D64" s="16">
        <f t="shared" si="0"/>
        <v>0</v>
      </c>
    </row>
    <row r="65" spans="4:4" x14ac:dyDescent="0.3">
      <c r="D65" s="16">
        <f t="shared" si="0"/>
        <v>0</v>
      </c>
    </row>
    <row r="66" spans="4:4" x14ac:dyDescent="0.3">
      <c r="D66" s="16">
        <f t="shared" si="0"/>
        <v>0</v>
      </c>
    </row>
    <row r="67" spans="4:4" x14ac:dyDescent="0.3">
      <c r="D67" s="16">
        <f t="shared" si="0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>
      <selection activeCell="D3" sqref="D3:D10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13.33203125" style="16" customWidth="1"/>
    <col min="5" max="16384" width="8.88671875" style="16"/>
  </cols>
  <sheetData>
    <row r="1" spans="1:4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4" x14ac:dyDescent="0.3">
      <c r="A2" s="15">
        <v>45294</v>
      </c>
    </row>
    <row r="3" spans="1:4" x14ac:dyDescent="0.3">
      <c r="A3" s="16" t="s">
        <v>139</v>
      </c>
      <c r="B3" s="16">
        <v>11</v>
      </c>
      <c r="C3" s="16">
        <v>100</v>
      </c>
      <c r="D3" s="16">
        <f>B:B*C:C</f>
        <v>1100</v>
      </c>
    </row>
    <row r="4" spans="1:4" x14ac:dyDescent="0.3">
      <c r="A4" s="16" t="s">
        <v>140</v>
      </c>
      <c r="D4" s="16">
        <v>500</v>
      </c>
    </row>
    <row r="7" spans="1:4" x14ac:dyDescent="0.3">
      <c r="A7" s="15">
        <v>45304</v>
      </c>
    </row>
    <row r="8" spans="1:4" x14ac:dyDescent="0.3">
      <c r="A8" s="16" t="s">
        <v>141</v>
      </c>
      <c r="B8" s="16">
        <v>1</v>
      </c>
      <c r="C8" s="16">
        <v>600</v>
      </c>
      <c r="D8" s="16">
        <f>B:B*C:C</f>
        <v>600</v>
      </c>
    </row>
    <row r="9" spans="1:4" x14ac:dyDescent="0.3">
      <c r="A9" s="16" t="s">
        <v>142</v>
      </c>
      <c r="B9" s="16">
        <v>20</v>
      </c>
      <c r="C9" s="16">
        <v>20</v>
      </c>
      <c r="D9" s="16">
        <f>B:B*C:C</f>
        <v>400</v>
      </c>
    </row>
    <row r="10" spans="1:4" x14ac:dyDescent="0.3">
      <c r="D10" s="16">
        <f>SUM(D3:D9)</f>
        <v>2600</v>
      </c>
    </row>
    <row r="12" spans="1:4" x14ac:dyDescent="0.3">
      <c r="A12" s="19"/>
    </row>
    <row r="13" spans="1:4" x14ac:dyDescent="0.3">
      <c r="A13" s="20"/>
    </row>
    <row r="14" spans="1:4" x14ac:dyDescent="0.3">
      <c r="A14" s="19"/>
    </row>
    <row r="15" spans="1:4" x14ac:dyDescent="0.3">
      <c r="A15" s="19"/>
    </row>
    <row r="16" spans="1:4" x14ac:dyDescent="0.3">
      <c r="A16" s="19"/>
    </row>
    <row r="17" spans="1:1" x14ac:dyDescent="0.3">
      <c r="A17" s="20"/>
    </row>
    <row r="18" spans="1:1" x14ac:dyDescent="0.3">
      <c r="A18" s="20"/>
    </row>
    <row r="19" spans="1:1" x14ac:dyDescent="0.3">
      <c r="A19" s="19"/>
    </row>
    <row r="20" spans="1:1" x14ac:dyDescent="0.3">
      <c r="A20" s="19"/>
    </row>
    <row r="21" spans="1:1" x14ac:dyDescent="0.3">
      <c r="A21" s="20"/>
    </row>
    <row r="22" spans="1:1" x14ac:dyDescent="0.3">
      <c r="A22" s="19"/>
    </row>
    <row r="23" spans="1:1" x14ac:dyDescent="0.3">
      <c r="A23" s="20"/>
    </row>
    <row r="24" spans="1:1" x14ac:dyDescent="0.3">
      <c r="A24" s="19"/>
    </row>
    <row r="25" spans="1:1" x14ac:dyDescent="0.3">
      <c r="A25" s="19"/>
    </row>
    <row r="31" spans="1:1" x14ac:dyDescent="0.3">
      <c r="A31" s="20"/>
    </row>
    <row r="39" spans="1:1" x14ac:dyDescent="0.3">
      <c r="A39" s="20"/>
    </row>
    <row r="42" spans="1:1" x14ac:dyDescent="0.3">
      <c r="A42" s="20"/>
    </row>
    <row r="45" spans="1:1" x14ac:dyDescent="0.3">
      <c r="A45" s="20"/>
    </row>
    <row r="48" spans="1:1" x14ac:dyDescent="0.3">
      <c r="A48" s="15"/>
    </row>
    <row r="51" spans="1:10" x14ac:dyDescent="0.3">
      <c r="A51" s="20"/>
    </row>
    <row r="56" spans="1:10" x14ac:dyDescent="0.3">
      <c r="A56" s="15"/>
    </row>
    <row r="59" spans="1:10" x14ac:dyDescent="0.3">
      <c r="J59" s="16">
        <v>4</v>
      </c>
    </row>
    <row r="61" spans="1:10" x14ac:dyDescent="0.3">
      <c r="D61" s="16">
        <f t="shared" ref="D61:D67" si="0">B:B*C:C</f>
        <v>0</v>
      </c>
    </row>
    <row r="62" spans="1:10" x14ac:dyDescent="0.3">
      <c r="D62" s="16">
        <f t="shared" si="0"/>
        <v>0</v>
      </c>
    </row>
    <row r="63" spans="1:10" x14ac:dyDescent="0.3">
      <c r="D63" s="16">
        <f t="shared" si="0"/>
        <v>0</v>
      </c>
    </row>
    <row r="64" spans="1:10" x14ac:dyDescent="0.3">
      <c r="D64" s="16">
        <f t="shared" si="0"/>
        <v>0</v>
      </c>
    </row>
    <row r="65" spans="4:4" x14ac:dyDescent="0.3">
      <c r="D65" s="16">
        <f t="shared" si="0"/>
        <v>0</v>
      </c>
    </row>
    <row r="66" spans="4:4" x14ac:dyDescent="0.3">
      <c r="D66" s="16">
        <f t="shared" si="0"/>
        <v>0</v>
      </c>
    </row>
    <row r="67" spans="4:4" x14ac:dyDescent="0.3">
      <c r="D67" s="16">
        <f t="shared" si="0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topLeftCell="A25" workbookViewId="0">
      <selection activeCell="A52" sqref="A52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13.33203125" style="16" customWidth="1"/>
    <col min="5" max="16384" width="8.88671875" style="16"/>
  </cols>
  <sheetData>
    <row r="1" spans="1:4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4" s="21" customFormat="1" ht="23.25" customHeight="1" x14ac:dyDescent="0.3">
      <c r="A2" s="15">
        <v>45332</v>
      </c>
    </row>
    <row r="3" spans="1:4" x14ac:dyDescent="0.3">
      <c r="A3" s="16" t="s">
        <v>85</v>
      </c>
      <c r="B3" s="16">
        <v>80</v>
      </c>
      <c r="C3" s="16">
        <v>30</v>
      </c>
      <c r="D3" s="16">
        <f>B:B*C:C</f>
        <v>2400</v>
      </c>
    </row>
    <row r="4" spans="1:4" x14ac:dyDescent="0.3">
      <c r="A4" s="16" t="s">
        <v>50</v>
      </c>
      <c r="B4" s="16">
        <v>4</v>
      </c>
      <c r="C4" s="16">
        <v>350</v>
      </c>
      <c r="D4" s="16">
        <f t="shared" ref="D4:D6" si="0">B:B*C:C</f>
        <v>1400</v>
      </c>
    </row>
    <row r="5" spans="1:4" x14ac:dyDescent="0.3">
      <c r="A5" s="16" t="s">
        <v>144</v>
      </c>
      <c r="B5" s="16">
        <v>4</v>
      </c>
      <c r="C5" s="16">
        <v>300</v>
      </c>
      <c r="D5" s="16">
        <f t="shared" si="0"/>
        <v>1200</v>
      </c>
    </row>
    <row r="6" spans="1:4" x14ac:dyDescent="0.3">
      <c r="A6" s="16" t="s">
        <v>82</v>
      </c>
      <c r="B6" s="16">
        <v>15</v>
      </c>
      <c r="C6" s="16">
        <v>35</v>
      </c>
      <c r="D6" s="16">
        <f t="shared" si="0"/>
        <v>525</v>
      </c>
    </row>
    <row r="7" spans="1:4" x14ac:dyDescent="0.3">
      <c r="D7" s="16">
        <f>SUM(D3:D6)</f>
        <v>5525</v>
      </c>
    </row>
    <row r="14" spans="1:4" x14ac:dyDescent="0.3">
      <c r="A14" s="15">
        <v>45335</v>
      </c>
    </row>
    <row r="15" spans="1:4" x14ac:dyDescent="0.3">
      <c r="A15" s="16" t="s">
        <v>82</v>
      </c>
      <c r="B15" s="16">
        <v>125</v>
      </c>
      <c r="C15" s="16">
        <v>35</v>
      </c>
      <c r="D15" s="16">
        <f>B:B*C:C</f>
        <v>4375</v>
      </c>
    </row>
    <row r="16" spans="1:4" x14ac:dyDescent="0.3">
      <c r="A16" s="16" t="s">
        <v>143</v>
      </c>
      <c r="B16" s="16">
        <v>20</v>
      </c>
      <c r="C16" s="16">
        <v>125</v>
      </c>
      <c r="D16" s="16">
        <f>B:B*C:C</f>
        <v>2500</v>
      </c>
    </row>
    <row r="17" spans="1:4" x14ac:dyDescent="0.3">
      <c r="D17" s="16">
        <f>B:B*C:C</f>
        <v>0</v>
      </c>
    </row>
    <row r="18" spans="1:4" x14ac:dyDescent="0.3">
      <c r="D18" s="16">
        <f>B:B*C:C</f>
        <v>0</v>
      </c>
    </row>
    <row r="19" spans="1:4" x14ac:dyDescent="0.3">
      <c r="D19" s="16">
        <f>SUM(D15:D17)</f>
        <v>6875</v>
      </c>
    </row>
    <row r="21" spans="1:4" x14ac:dyDescent="0.3">
      <c r="A21" s="19"/>
    </row>
    <row r="22" spans="1:4" x14ac:dyDescent="0.3">
      <c r="A22" s="15">
        <v>45336</v>
      </c>
    </row>
    <row r="23" spans="1:4" x14ac:dyDescent="0.3">
      <c r="A23" s="16" t="s">
        <v>145</v>
      </c>
      <c r="B23" s="16">
        <v>2</v>
      </c>
      <c r="C23" s="16">
        <v>150</v>
      </c>
      <c r="D23" s="16">
        <v>300</v>
      </c>
    </row>
    <row r="24" spans="1:4" x14ac:dyDescent="0.3">
      <c r="A24" s="20" t="s">
        <v>146</v>
      </c>
      <c r="B24" s="16">
        <v>1</v>
      </c>
      <c r="C24" s="16">
        <v>600</v>
      </c>
      <c r="D24" s="16">
        <v>600</v>
      </c>
    </row>
    <row r="27" spans="1:4" x14ac:dyDescent="0.3">
      <c r="A27" s="15">
        <v>45338</v>
      </c>
    </row>
    <row r="28" spans="1:4" x14ac:dyDescent="0.3">
      <c r="A28" s="16" t="s">
        <v>147</v>
      </c>
      <c r="B28" s="16">
        <v>9</v>
      </c>
      <c r="C28" s="16">
        <v>600</v>
      </c>
      <c r="D28" s="16">
        <f>B:B*C:C</f>
        <v>5400</v>
      </c>
    </row>
    <row r="29" spans="1:4" x14ac:dyDescent="0.3">
      <c r="A29" s="16" t="s">
        <v>17</v>
      </c>
      <c r="B29" s="16">
        <v>68</v>
      </c>
      <c r="C29" s="16">
        <v>150</v>
      </c>
      <c r="D29" s="16">
        <f t="shared" ref="D29:D37" si="1">B:B*C:C</f>
        <v>10200</v>
      </c>
    </row>
    <row r="30" spans="1:4" x14ac:dyDescent="0.3">
      <c r="A30" s="16" t="s">
        <v>50</v>
      </c>
      <c r="B30" s="16">
        <v>4</v>
      </c>
      <c r="C30" s="16">
        <v>350</v>
      </c>
      <c r="D30" s="16">
        <f t="shared" si="1"/>
        <v>1400</v>
      </c>
    </row>
    <row r="31" spans="1:4" x14ac:dyDescent="0.3">
      <c r="A31" s="16" t="s">
        <v>41</v>
      </c>
      <c r="B31" s="16">
        <v>500</v>
      </c>
      <c r="C31" s="16">
        <v>25</v>
      </c>
      <c r="D31" s="16">
        <f t="shared" si="1"/>
        <v>12500</v>
      </c>
    </row>
    <row r="32" spans="1:4" x14ac:dyDescent="0.3">
      <c r="A32" s="20" t="s">
        <v>148</v>
      </c>
      <c r="B32" s="16">
        <v>800</v>
      </c>
      <c r="C32" s="16">
        <v>5</v>
      </c>
      <c r="D32" s="16">
        <f t="shared" si="1"/>
        <v>4000</v>
      </c>
    </row>
    <row r="33" spans="1:4" x14ac:dyDescent="0.3">
      <c r="A33" s="16" t="s">
        <v>149</v>
      </c>
      <c r="B33" s="16">
        <v>800</v>
      </c>
      <c r="C33" s="16">
        <v>5</v>
      </c>
      <c r="D33" s="16">
        <f t="shared" si="1"/>
        <v>4000</v>
      </c>
    </row>
    <row r="34" spans="1:4" x14ac:dyDescent="0.3">
      <c r="A34" s="16" t="s">
        <v>150</v>
      </c>
      <c r="B34" s="16">
        <v>800</v>
      </c>
      <c r="C34" s="16">
        <v>5</v>
      </c>
      <c r="D34" s="16">
        <f t="shared" si="1"/>
        <v>4000</v>
      </c>
    </row>
    <row r="35" spans="1:4" x14ac:dyDescent="0.3">
      <c r="A35" s="16" t="s">
        <v>151</v>
      </c>
      <c r="B35" s="16">
        <v>800</v>
      </c>
      <c r="C35" s="16">
        <v>5</v>
      </c>
      <c r="D35" s="16">
        <f t="shared" si="1"/>
        <v>4000</v>
      </c>
    </row>
    <row r="36" spans="1:4" x14ac:dyDescent="0.3">
      <c r="A36" s="16" t="s">
        <v>152</v>
      </c>
      <c r="B36" s="16">
        <v>500</v>
      </c>
      <c r="C36" s="16">
        <v>5</v>
      </c>
      <c r="D36" s="16">
        <f t="shared" si="1"/>
        <v>2500</v>
      </c>
    </row>
    <row r="37" spans="1:4" x14ac:dyDescent="0.3">
      <c r="A37" s="16" t="s">
        <v>153</v>
      </c>
      <c r="B37" s="16">
        <v>80</v>
      </c>
      <c r="C37" s="16">
        <v>5</v>
      </c>
      <c r="D37" s="16">
        <f t="shared" si="1"/>
        <v>400</v>
      </c>
    </row>
    <row r="38" spans="1:4" x14ac:dyDescent="0.3">
      <c r="D38" s="16">
        <f>SUM(D28:D37)</f>
        <v>48400</v>
      </c>
    </row>
    <row r="40" spans="1:4" x14ac:dyDescent="0.3">
      <c r="A40" s="20"/>
    </row>
    <row r="42" spans="1:4" x14ac:dyDescent="0.3">
      <c r="A42" s="15">
        <v>45345</v>
      </c>
    </row>
    <row r="43" spans="1:4" x14ac:dyDescent="0.3">
      <c r="A43" s="20" t="s">
        <v>145</v>
      </c>
      <c r="B43" s="16">
        <v>15</v>
      </c>
      <c r="C43" s="16">
        <v>150</v>
      </c>
      <c r="D43" s="16">
        <f>B:B*C:C</f>
        <v>2250</v>
      </c>
    </row>
    <row r="46" spans="1:4" x14ac:dyDescent="0.3">
      <c r="A46" s="20"/>
    </row>
    <row r="47" spans="1:4" x14ac:dyDescent="0.3">
      <c r="A47" s="15">
        <v>45349</v>
      </c>
    </row>
    <row r="48" spans="1:4" x14ac:dyDescent="0.3">
      <c r="A48" s="16" t="s">
        <v>145</v>
      </c>
      <c r="B48" s="16">
        <v>30</v>
      </c>
      <c r="C48" s="16">
        <v>150</v>
      </c>
      <c r="D48" s="16">
        <f>B:B*C:C</f>
        <v>4500</v>
      </c>
    </row>
    <row r="52" spans="1:10" x14ac:dyDescent="0.3">
      <c r="A52" s="20"/>
    </row>
    <row r="60" spans="1:10" x14ac:dyDescent="0.3">
      <c r="J60" s="16">
        <v>4</v>
      </c>
    </row>
    <row r="62" spans="1:10" x14ac:dyDescent="0.3">
      <c r="D62" s="16">
        <f t="shared" ref="D62:D68" si="2">B:B*C:C</f>
        <v>0</v>
      </c>
    </row>
    <row r="63" spans="1:10" x14ac:dyDescent="0.3">
      <c r="D63" s="16">
        <f t="shared" si="2"/>
        <v>0</v>
      </c>
    </row>
    <row r="64" spans="1:10" x14ac:dyDescent="0.3">
      <c r="D64" s="16">
        <f t="shared" si="2"/>
        <v>0</v>
      </c>
    </row>
    <row r="65" spans="4:4" x14ac:dyDescent="0.3">
      <c r="D65" s="16">
        <f t="shared" si="2"/>
        <v>0</v>
      </c>
    </row>
    <row r="66" spans="4:4" x14ac:dyDescent="0.3">
      <c r="D66" s="16">
        <f t="shared" si="2"/>
        <v>0</v>
      </c>
    </row>
    <row r="67" spans="4:4" x14ac:dyDescent="0.3">
      <c r="D67" s="16">
        <f t="shared" si="2"/>
        <v>0</v>
      </c>
    </row>
    <row r="68" spans="4:4" x14ac:dyDescent="0.3">
      <c r="D68" s="16">
        <f t="shared" si="2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selection activeCell="B27" sqref="B27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13.33203125" style="16" customWidth="1"/>
    <col min="5" max="16384" width="8.88671875" style="16"/>
  </cols>
  <sheetData>
    <row r="1" spans="1:4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4" s="21" customFormat="1" ht="23.25" customHeight="1" x14ac:dyDescent="0.3">
      <c r="A2" s="15">
        <v>45352</v>
      </c>
    </row>
    <row r="3" spans="1:4" x14ac:dyDescent="0.3">
      <c r="A3" s="16" t="s">
        <v>154</v>
      </c>
      <c r="B3" s="16">
        <v>200</v>
      </c>
      <c r="C3" s="16">
        <v>30</v>
      </c>
      <c r="D3" s="16">
        <f>B:B*C:C</f>
        <v>6000</v>
      </c>
    </row>
    <row r="4" spans="1:4" x14ac:dyDescent="0.3">
      <c r="A4" s="16" t="s">
        <v>155</v>
      </c>
      <c r="B4" s="16">
        <v>2</v>
      </c>
      <c r="C4" s="16">
        <v>600</v>
      </c>
      <c r="D4" s="18">
        <v>1200</v>
      </c>
    </row>
    <row r="7" spans="1:4" x14ac:dyDescent="0.3">
      <c r="A7" s="15">
        <v>45370</v>
      </c>
    </row>
    <row r="8" spans="1:4" x14ac:dyDescent="0.3">
      <c r="A8" s="16" t="s">
        <v>156</v>
      </c>
      <c r="B8" s="16">
        <v>100</v>
      </c>
      <c r="C8" s="16">
        <v>40</v>
      </c>
      <c r="D8" s="16">
        <v>4000</v>
      </c>
    </row>
    <row r="21" spans="1:1" x14ac:dyDescent="0.3">
      <c r="A21" s="19"/>
    </row>
    <row r="22" spans="1:1" x14ac:dyDescent="0.3">
      <c r="A22" s="15"/>
    </row>
    <row r="24" spans="1:1" x14ac:dyDescent="0.3">
      <c r="A24" s="20"/>
    </row>
    <row r="27" spans="1:1" x14ac:dyDescent="0.3">
      <c r="A27" s="15"/>
    </row>
    <row r="32" spans="1:1" x14ac:dyDescent="0.3">
      <c r="A32" s="20"/>
    </row>
    <row r="40" spans="1:1" x14ac:dyDescent="0.3">
      <c r="A40" s="20"/>
    </row>
    <row r="42" spans="1:1" x14ac:dyDescent="0.3">
      <c r="A42" s="15"/>
    </row>
    <row r="43" spans="1:1" x14ac:dyDescent="0.3">
      <c r="A43" s="20"/>
    </row>
    <row r="46" spans="1:1" x14ac:dyDescent="0.3">
      <c r="A46" s="20"/>
    </row>
    <row r="47" spans="1:1" x14ac:dyDescent="0.3">
      <c r="A47" s="15"/>
    </row>
    <row r="52" spans="1:10" x14ac:dyDescent="0.3">
      <c r="A52" s="20"/>
    </row>
    <row r="60" spans="1:10" x14ac:dyDescent="0.3">
      <c r="J60" s="16">
        <v>4</v>
      </c>
    </row>
    <row r="62" spans="1:10" x14ac:dyDescent="0.3">
      <c r="D62" s="16">
        <f t="shared" ref="D62:D68" si="0">B:B*C:C</f>
        <v>0</v>
      </c>
    </row>
    <row r="63" spans="1:10" x14ac:dyDescent="0.3">
      <c r="D63" s="16">
        <f t="shared" si="0"/>
        <v>0</v>
      </c>
    </row>
    <row r="64" spans="1:10" x14ac:dyDescent="0.3">
      <c r="D64" s="16">
        <f t="shared" si="0"/>
        <v>0</v>
      </c>
    </row>
    <row r="65" spans="4:4" x14ac:dyDescent="0.3">
      <c r="D65" s="16">
        <f t="shared" si="0"/>
        <v>0</v>
      </c>
    </row>
    <row r="66" spans="4:4" x14ac:dyDescent="0.3">
      <c r="D66" s="16">
        <f t="shared" si="0"/>
        <v>0</v>
      </c>
    </row>
    <row r="67" spans="4:4" x14ac:dyDescent="0.3">
      <c r="D67" s="16">
        <f t="shared" si="0"/>
        <v>0</v>
      </c>
    </row>
    <row r="68" spans="4:4" x14ac:dyDescent="0.3">
      <c r="D68" s="16">
        <f t="shared" si="0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topLeftCell="A10" workbookViewId="0">
      <selection activeCell="H35" sqref="H35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13.33203125" style="16" customWidth="1"/>
    <col min="5" max="16384" width="8.88671875" style="16"/>
  </cols>
  <sheetData>
    <row r="1" spans="1:4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4" s="21" customFormat="1" ht="23.25" customHeight="1" x14ac:dyDescent="0.3">
      <c r="A2" s="15">
        <v>45390</v>
      </c>
    </row>
    <row r="3" spans="1:4" x14ac:dyDescent="0.3">
      <c r="A3" s="16" t="s">
        <v>85</v>
      </c>
      <c r="B3" s="16">
        <v>30</v>
      </c>
      <c r="C3" s="16">
        <v>30</v>
      </c>
      <c r="D3" s="16">
        <f>B:B*C:C</f>
        <v>900</v>
      </c>
    </row>
    <row r="4" spans="1:4" x14ac:dyDescent="0.3">
      <c r="A4" s="16" t="s">
        <v>145</v>
      </c>
      <c r="B4" s="16">
        <v>30</v>
      </c>
      <c r="C4" s="16">
        <v>150</v>
      </c>
      <c r="D4" s="16">
        <f>B:B*C:C</f>
        <v>4500</v>
      </c>
    </row>
    <row r="5" spans="1:4" x14ac:dyDescent="0.3">
      <c r="A5" s="16" t="s">
        <v>31</v>
      </c>
      <c r="B5" s="16">
        <v>4</v>
      </c>
      <c r="C5" s="16">
        <v>300</v>
      </c>
      <c r="D5" s="16">
        <f>B:B*C:C</f>
        <v>1200</v>
      </c>
    </row>
    <row r="6" spans="1:4" x14ac:dyDescent="0.3">
      <c r="D6" s="16">
        <f>B:B*C:C</f>
        <v>0</v>
      </c>
    </row>
    <row r="7" spans="1:4" x14ac:dyDescent="0.3">
      <c r="D7" s="16">
        <f>SUM(D2:D6)</f>
        <v>6600</v>
      </c>
    </row>
    <row r="11" spans="1:4" x14ac:dyDescent="0.3">
      <c r="A11" s="15">
        <v>45398</v>
      </c>
    </row>
    <row r="12" spans="1:4" x14ac:dyDescent="0.3">
      <c r="A12" s="16" t="s">
        <v>17</v>
      </c>
      <c r="B12" s="16">
        <v>72</v>
      </c>
      <c r="C12" s="16">
        <v>150</v>
      </c>
      <c r="D12" s="16">
        <f>B:B*C:C</f>
        <v>10800</v>
      </c>
    </row>
    <row r="15" spans="1:4" x14ac:dyDescent="0.3">
      <c r="A15" s="15">
        <v>45406</v>
      </c>
    </row>
    <row r="16" spans="1:4" x14ac:dyDescent="0.3">
      <c r="A16" s="16" t="s">
        <v>145</v>
      </c>
      <c r="B16" s="16">
        <v>15</v>
      </c>
      <c r="C16" s="16">
        <v>150</v>
      </c>
      <c r="D16" s="16">
        <f>B:B*C:C</f>
        <v>2250</v>
      </c>
    </row>
    <row r="17" spans="1:9" x14ac:dyDescent="0.3">
      <c r="A17" s="16" t="s">
        <v>160</v>
      </c>
      <c r="B17" s="16">
        <v>3</v>
      </c>
      <c r="C17" s="16">
        <v>300</v>
      </c>
      <c r="D17" s="16">
        <f t="shared" ref="D17:D18" si="0">B:B*C:C</f>
        <v>900</v>
      </c>
    </row>
    <row r="18" spans="1:9" x14ac:dyDescent="0.3">
      <c r="D18" s="16">
        <f t="shared" si="0"/>
        <v>0</v>
      </c>
      <c r="I18" s="16" t="s">
        <v>131</v>
      </c>
    </row>
    <row r="19" spans="1:9" x14ac:dyDescent="0.3">
      <c r="D19" s="16">
        <f>SUM(D16:D18)</f>
        <v>3150</v>
      </c>
    </row>
    <row r="22" spans="1:9" x14ac:dyDescent="0.3">
      <c r="A22" s="15">
        <v>45409</v>
      </c>
    </row>
    <row r="23" spans="1:9" x14ac:dyDescent="0.3">
      <c r="A23" s="16" t="s">
        <v>157</v>
      </c>
      <c r="B23" s="16">
        <v>6</v>
      </c>
      <c r="C23" s="16">
        <v>450</v>
      </c>
      <c r="D23" s="16">
        <f t="shared" ref="D23:D30" si="1">B:B*C:C</f>
        <v>2700</v>
      </c>
    </row>
    <row r="24" spans="1:9" x14ac:dyDescent="0.3">
      <c r="A24" s="16" t="s">
        <v>158</v>
      </c>
      <c r="B24" s="16">
        <v>8</v>
      </c>
      <c r="C24" s="16">
        <v>300</v>
      </c>
      <c r="D24" s="16">
        <f t="shared" si="1"/>
        <v>2400</v>
      </c>
    </row>
    <row r="25" spans="1:9" x14ac:dyDescent="0.3">
      <c r="A25" s="16" t="s">
        <v>145</v>
      </c>
      <c r="B25" s="16">
        <v>20</v>
      </c>
      <c r="C25" s="16">
        <v>150</v>
      </c>
      <c r="D25" s="16">
        <f t="shared" si="1"/>
        <v>3000</v>
      </c>
    </row>
    <row r="26" spans="1:9" x14ac:dyDescent="0.3">
      <c r="A26" s="16" t="s">
        <v>17</v>
      </c>
      <c r="B26" s="16">
        <v>50</v>
      </c>
      <c r="C26" s="16">
        <v>150</v>
      </c>
      <c r="D26" s="16">
        <f t="shared" si="1"/>
        <v>7500</v>
      </c>
    </row>
    <row r="27" spans="1:9" s="19" customFormat="1" x14ac:dyDescent="0.3">
      <c r="A27" s="19" t="s">
        <v>161</v>
      </c>
      <c r="B27" s="16">
        <v>150</v>
      </c>
      <c r="C27" s="16">
        <v>40</v>
      </c>
      <c r="D27" s="16">
        <f t="shared" si="1"/>
        <v>6000</v>
      </c>
    </row>
    <row r="28" spans="1:9" s="19" customFormat="1" x14ac:dyDescent="0.3">
      <c r="A28" s="16" t="s">
        <v>159</v>
      </c>
      <c r="B28" s="16">
        <v>6</v>
      </c>
      <c r="C28" s="16">
        <v>800</v>
      </c>
      <c r="D28" s="16">
        <f t="shared" si="1"/>
        <v>4800</v>
      </c>
    </row>
    <row r="29" spans="1:9" x14ac:dyDescent="0.3">
      <c r="A29" s="16" t="s">
        <v>41</v>
      </c>
      <c r="B29" s="16">
        <v>240</v>
      </c>
      <c r="C29" s="16">
        <v>25</v>
      </c>
      <c r="D29" s="16">
        <f t="shared" si="1"/>
        <v>6000</v>
      </c>
    </row>
    <row r="30" spans="1:9" x14ac:dyDescent="0.3">
      <c r="A30" s="20" t="s">
        <v>162</v>
      </c>
      <c r="B30" s="16">
        <v>117</v>
      </c>
      <c r="C30" s="16">
        <v>25</v>
      </c>
      <c r="D30" s="16">
        <f t="shared" si="1"/>
        <v>2925</v>
      </c>
    </row>
    <row r="31" spans="1:9" x14ac:dyDescent="0.3">
      <c r="D31" s="16">
        <f>SUM(D22:D30)</f>
        <v>35325</v>
      </c>
    </row>
    <row r="33" spans="1:1" x14ac:dyDescent="0.3">
      <c r="A33" s="20"/>
    </row>
    <row r="41" spans="1:1" x14ac:dyDescent="0.3">
      <c r="A41" s="20"/>
    </row>
    <row r="43" spans="1:1" x14ac:dyDescent="0.3">
      <c r="A43" s="15"/>
    </row>
    <row r="44" spans="1:1" x14ac:dyDescent="0.3">
      <c r="A44" s="20"/>
    </row>
    <row r="47" spans="1:1" x14ac:dyDescent="0.3">
      <c r="A47" s="20"/>
    </row>
    <row r="48" spans="1:1" x14ac:dyDescent="0.3">
      <c r="A48" s="15"/>
    </row>
    <row r="53" spans="1:10" x14ac:dyDescent="0.3">
      <c r="A53" s="20"/>
    </row>
    <row r="61" spans="1:10" x14ac:dyDescent="0.3">
      <c r="J61" s="16">
        <v>4</v>
      </c>
    </row>
    <row r="63" spans="1:10" x14ac:dyDescent="0.3">
      <c r="D63" s="16">
        <f t="shared" ref="D63:D69" si="2">B:B*C:C</f>
        <v>0</v>
      </c>
    </row>
    <row r="64" spans="1:10" x14ac:dyDescent="0.3">
      <c r="D64" s="16">
        <f t="shared" si="2"/>
        <v>0</v>
      </c>
    </row>
    <row r="65" spans="4:4" x14ac:dyDescent="0.3">
      <c r="D65" s="16">
        <f t="shared" si="2"/>
        <v>0</v>
      </c>
    </row>
    <row r="66" spans="4:4" x14ac:dyDescent="0.3">
      <c r="D66" s="16">
        <f t="shared" si="2"/>
        <v>0</v>
      </c>
    </row>
    <row r="67" spans="4:4" x14ac:dyDescent="0.3">
      <c r="D67" s="16">
        <f t="shared" si="2"/>
        <v>0</v>
      </c>
    </row>
    <row r="68" spans="4:4" x14ac:dyDescent="0.3">
      <c r="D68" s="16">
        <f t="shared" si="2"/>
        <v>0</v>
      </c>
    </row>
    <row r="69" spans="4:4" x14ac:dyDescent="0.3">
      <c r="D69" s="16">
        <f t="shared" si="2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selection activeCell="C14" sqref="C14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13.33203125" style="16" customWidth="1"/>
    <col min="5" max="16384" width="8.88671875" style="16"/>
  </cols>
  <sheetData>
    <row r="1" spans="1:4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4" s="21" customFormat="1" ht="16.2" customHeight="1" x14ac:dyDescent="0.3">
      <c r="A2" s="15">
        <v>45429</v>
      </c>
    </row>
    <row r="3" spans="1:4" x14ac:dyDescent="0.3">
      <c r="A3" s="16" t="s">
        <v>159</v>
      </c>
      <c r="B3" s="16">
        <v>6</v>
      </c>
      <c r="C3" s="16">
        <v>800</v>
      </c>
      <c r="D3" s="16">
        <f>B:B*C:C</f>
        <v>4800</v>
      </c>
    </row>
    <row r="4" spans="1:4" x14ac:dyDescent="0.3">
      <c r="A4" s="16" t="s">
        <v>80</v>
      </c>
      <c r="B4" s="16">
        <v>50</v>
      </c>
      <c r="C4" s="16">
        <v>150</v>
      </c>
      <c r="D4" s="16">
        <f t="shared" ref="D4:D8" si="0">B:B*C:C</f>
        <v>7500</v>
      </c>
    </row>
    <row r="5" spans="1:4" x14ac:dyDescent="0.3">
      <c r="A5" s="16" t="s">
        <v>89</v>
      </c>
      <c r="B5" s="16">
        <v>285</v>
      </c>
      <c r="C5" s="16">
        <v>25</v>
      </c>
      <c r="D5" s="16">
        <f t="shared" si="0"/>
        <v>7125</v>
      </c>
    </row>
    <row r="6" spans="1:4" x14ac:dyDescent="0.3">
      <c r="A6" s="16" t="s">
        <v>98</v>
      </c>
      <c r="B6" s="16">
        <v>4</v>
      </c>
      <c r="C6" s="16">
        <v>450</v>
      </c>
      <c r="D6" s="16">
        <f t="shared" si="0"/>
        <v>1800</v>
      </c>
    </row>
    <row r="7" spans="1:4" x14ac:dyDescent="0.3">
      <c r="A7" s="16" t="s">
        <v>39</v>
      </c>
      <c r="B7" s="16">
        <v>8</v>
      </c>
      <c r="C7" s="16">
        <v>400</v>
      </c>
      <c r="D7" s="16">
        <f t="shared" si="0"/>
        <v>3200</v>
      </c>
    </row>
    <row r="8" spans="1:4" x14ac:dyDescent="0.3">
      <c r="A8" s="16" t="s">
        <v>163</v>
      </c>
      <c r="B8" s="16">
        <v>5</v>
      </c>
      <c r="C8" s="16">
        <v>400</v>
      </c>
      <c r="D8" s="16">
        <f t="shared" si="0"/>
        <v>2000</v>
      </c>
    </row>
    <row r="9" spans="1:4" x14ac:dyDescent="0.3">
      <c r="A9" s="16" t="s">
        <v>164</v>
      </c>
      <c r="B9" s="16">
        <v>1</v>
      </c>
      <c r="C9" s="16">
        <v>600</v>
      </c>
      <c r="D9" s="16">
        <v>600</v>
      </c>
    </row>
    <row r="10" spans="1:4" x14ac:dyDescent="0.3">
      <c r="A10" s="16" t="s">
        <v>165</v>
      </c>
      <c r="B10" s="16">
        <v>16</v>
      </c>
      <c r="C10" s="16">
        <v>125</v>
      </c>
      <c r="D10" s="16">
        <v>600</v>
      </c>
    </row>
    <row r="11" spans="1:4" x14ac:dyDescent="0.3">
      <c r="A11" s="20" t="s">
        <v>166</v>
      </c>
      <c r="B11" s="16">
        <v>100</v>
      </c>
      <c r="C11" s="16">
        <v>30</v>
      </c>
      <c r="D11" s="16">
        <v>600</v>
      </c>
    </row>
    <row r="12" spans="1:4" x14ac:dyDescent="0.3">
      <c r="D12" s="16">
        <f>SUM(D3:D11)</f>
        <v>28225</v>
      </c>
    </row>
    <row r="15" spans="1:4" x14ac:dyDescent="0.3">
      <c r="A15" s="15">
        <v>45441</v>
      </c>
    </row>
    <row r="16" spans="1:4" x14ac:dyDescent="0.3">
      <c r="A16" s="16" t="s">
        <v>167</v>
      </c>
      <c r="B16" s="16">
        <v>6</v>
      </c>
      <c r="C16" s="16">
        <v>200</v>
      </c>
      <c r="D16" s="18">
        <v>1200</v>
      </c>
    </row>
    <row r="18" spans="1:9" x14ac:dyDescent="0.3">
      <c r="I18" s="16" t="s">
        <v>131</v>
      </c>
    </row>
    <row r="22" spans="1:9" x14ac:dyDescent="0.3">
      <c r="A22" s="15"/>
    </row>
    <row r="27" spans="1:9" s="19" customFormat="1" x14ac:dyDescent="0.3">
      <c r="B27" s="16"/>
      <c r="C27" s="16"/>
      <c r="D27" s="16"/>
    </row>
    <row r="28" spans="1:9" s="19" customFormat="1" x14ac:dyDescent="0.3">
      <c r="A28" s="16"/>
      <c r="B28" s="16"/>
      <c r="C28" s="16"/>
      <c r="D28" s="16"/>
    </row>
    <row r="30" spans="1:9" x14ac:dyDescent="0.3">
      <c r="A30" s="20"/>
    </row>
    <row r="33" spans="1:1" x14ac:dyDescent="0.3">
      <c r="A33" s="20"/>
    </row>
    <row r="41" spans="1:1" x14ac:dyDescent="0.3">
      <c r="A41" s="20"/>
    </row>
    <row r="43" spans="1:1" x14ac:dyDescent="0.3">
      <c r="A43" s="15"/>
    </row>
    <row r="44" spans="1:1" x14ac:dyDescent="0.3">
      <c r="A44" s="20"/>
    </row>
    <row r="47" spans="1:1" x14ac:dyDescent="0.3">
      <c r="A47" s="20"/>
    </row>
    <row r="48" spans="1:1" x14ac:dyDescent="0.3">
      <c r="A48" s="15"/>
    </row>
    <row r="53" spans="1:1" x14ac:dyDescent="0.3">
      <c r="A53" s="2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opLeftCell="A7" workbookViewId="0">
      <selection activeCell="F34" sqref="F34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13.33203125" style="16" customWidth="1"/>
    <col min="5" max="16384" width="8.88671875" style="16"/>
  </cols>
  <sheetData>
    <row r="1" spans="1:4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4" s="21" customFormat="1" ht="16.2" customHeight="1" x14ac:dyDescent="0.3">
      <c r="A2" s="15">
        <v>45447</v>
      </c>
    </row>
    <row r="3" spans="1:4" x14ac:dyDescent="0.3">
      <c r="A3" s="16" t="s">
        <v>163</v>
      </c>
      <c r="B3" s="16">
        <v>4</v>
      </c>
      <c r="C3" s="16">
        <v>400</v>
      </c>
      <c r="D3" s="16">
        <f>B:B*C:C</f>
        <v>1600</v>
      </c>
    </row>
    <row r="4" spans="1:4" x14ac:dyDescent="0.3">
      <c r="A4" s="16" t="s">
        <v>168</v>
      </c>
      <c r="B4" s="16">
        <v>2</v>
      </c>
      <c r="C4" s="16">
        <v>200</v>
      </c>
      <c r="D4" s="16">
        <f t="shared" ref="D4:D5" si="0">B:B*C:C</f>
        <v>400</v>
      </c>
    </row>
    <row r="5" spans="1:4" x14ac:dyDescent="0.3">
      <c r="A5" s="16" t="s">
        <v>169</v>
      </c>
      <c r="B5" s="16">
        <v>5</v>
      </c>
      <c r="C5" s="16">
        <v>200</v>
      </c>
      <c r="D5" s="16">
        <f t="shared" si="0"/>
        <v>1000</v>
      </c>
    </row>
    <row r="6" spans="1:4" x14ac:dyDescent="0.3">
      <c r="D6" s="16">
        <f>SUM(D3:D5)</f>
        <v>3000</v>
      </c>
    </row>
    <row r="9" spans="1:4" x14ac:dyDescent="0.3">
      <c r="A9" s="15">
        <v>45455</v>
      </c>
    </row>
    <row r="10" spans="1:4" x14ac:dyDescent="0.3">
      <c r="A10" s="16" t="s">
        <v>158</v>
      </c>
      <c r="B10" s="16">
        <v>8</v>
      </c>
      <c r="C10" s="16">
        <v>300</v>
      </c>
      <c r="D10" s="16">
        <f>B:B*C:C</f>
        <v>2400</v>
      </c>
    </row>
    <row r="11" spans="1:4" x14ac:dyDescent="0.3">
      <c r="A11" s="20" t="s">
        <v>170</v>
      </c>
      <c r="B11" s="16">
        <v>8</v>
      </c>
      <c r="C11" s="16">
        <v>200</v>
      </c>
      <c r="D11" s="16">
        <f t="shared" ref="D11:D13" si="1">B:B*C:C</f>
        <v>1600</v>
      </c>
    </row>
    <row r="12" spans="1:4" x14ac:dyDescent="0.3">
      <c r="A12" s="16" t="s">
        <v>171</v>
      </c>
      <c r="B12" s="16">
        <v>5</v>
      </c>
      <c r="C12" s="16">
        <v>200</v>
      </c>
      <c r="D12" s="16">
        <f t="shared" si="1"/>
        <v>1000</v>
      </c>
    </row>
    <row r="13" spans="1:4" x14ac:dyDescent="0.3">
      <c r="A13" s="16" t="s">
        <v>163</v>
      </c>
      <c r="B13" s="16">
        <v>4</v>
      </c>
      <c r="C13" s="16">
        <v>400</v>
      </c>
      <c r="D13" s="16">
        <f t="shared" si="1"/>
        <v>1600</v>
      </c>
    </row>
    <row r="14" spans="1:4" x14ac:dyDescent="0.3">
      <c r="D14" s="16">
        <f>SUM(D10:D13)</f>
        <v>6600</v>
      </c>
    </row>
    <row r="16" spans="1:4" x14ac:dyDescent="0.3">
      <c r="A16" s="15">
        <v>45464</v>
      </c>
      <c r="D16" s="18"/>
    </row>
    <row r="17" spans="1:9" x14ac:dyDescent="0.3">
      <c r="A17" s="16" t="s">
        <v>127</v>
      </c>
      <c r="B17" s="16">
        <v>2</v>
      </c>
      <c r="C17" s="16">
        <v>250</v>
      </c>
      <c r="D17" s="16">
        <v>500</v>
      </c>
    </row>
    <row r="18" spans="1:9" x14ac:dyDescent="0.3">
      <c r="I18" s="16" t="s">
        <v>131</v>
      </c>
    </row>
    <row r="21" spans="1:9" x14ac:dyDescent="0.3">
      <c r="A21" s="15">
        <v>45472</v>
      </c>
    </row>
    <row r="22" spans="1:9" x14ac:dyDescent="0.3">
      <c r="A22" s="16" t="s">
        <v>172</v>
      </c>
      <c r="B22" s="16">
        <v>6</v>
      </c>
      <c r="C22" s="16">
        <v>600</v>
      </c>
      <c r="D22" s="16">
        <f>B:B*C:C</f>
        <v>3600</v>
      </c>
    </row>
    <row r="23" spans="1:9" x14ac:dyDescent="0.3">
      <c r="A23" s="16" t="s">
        <v>173</v>
      </c>
      <c r="B23" s="16">
        <v>6</v>
      </c>
      <c r="C23" s="16">
        <v>400</v>
      </c>
      <c r="D23" s="16">
        <f>B:B*C:C</f>
        <v>2400</v>
      </c>
    </row>
    <row r="24" spans="1:9" x14ac:dyDescent="0.3">
      <c r="D24" s="16">
        <f>SUM(D22:D23)</f>
        <v>6000</v>
      </c>
    </row>
    <row r="27" spans="1:9" s="19" customFormat="1" x14ac:dyDescent="0.3">
      <c r="B27" s="16"/>
      <c r="C27" s="16"/>
      <c r="D27" s="16"/>
    </row>
    <row r="28" spans="1:9" s="19" customFormat="1" x14ac:dyDescent="0.3">
      <c r="A28" s="16"/>
      <c r="B28" s="16"/>
      <c r="C28" s="16"/>
      <c r="D28" s="16"/>
    </row>
    <row r="30" spans="1:9" x14ac:dyDescent="0.3">
      <c r="A30" s="20"/>
    </row>
    <row r="33" spans="1:1" x14ac:dyDescent="0.3">
      <c r="A33" s="20"/>
    </row>
    <row r="41" spans="1:1" x14ac:dyDescent="0.3">
      <c r="A41" s="20"/>
    </row>
    <row r="43" spans="1:1" x14ac:dyDescent="0.3">
      <c r="A43" s="15"/>
    </row>
    <row r="44" spans="1:1" x14ac:dyDescent="0.3">
      <c r="A44" s="20"/>
    </row>
    <row r="47" spans="1:1" x14ac:dyDescent="0.3">
      <c r="A47" s="20"/>
    </row>
    <row r="48" spans="1:1" x14ac:dyDescent="0.3">
      <c r="A48" s="15"/>
    </row>
    <row r="53" spans="1:1" x14ac:dyDescent="0.3">
      <c r="A53" s="2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selection activeCell="D3" sqref="D3:D6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13.33203125" style="16" customWidth="1"/>
    <col min="5" max="16384" width="8.88671875" style="16"/>
  </cols>
  <sheetData>
    <row r="1" spans="1:4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4" s="21" customFormat="1" ht="16.2" customHeight="1" x14ac:dyDescent="0.3">
      <c r="A2" s="15">
        <v>45499</v>
      </c>
    </row>
    <row r="3" spans="1:4" x14ac:dyDescent="0.3">
      <c r="A3" s="16" t="s">
        <v>13</v>
      </c>
      <c r="B3" s="16">
        <v>16</v>
      </c>
      <c r="C3" s="16">
        <v>110</v>
      </c>
      <c r="D3" s="16">
        <f>B:B*C:C</f>
        <v>1760</v>
      </c>
    </row>
    <row r="4" spans="1:4" x14ac:dyDescent="0.3">
      <c r="A4" s="16" t="s">
        <v>87</v>
      </c>
      <c r="B4" s="16">
        <v>3</v>
      </c>
      <c r="C4" s="16">
        <v>400</v>
      </c>
      <c r="D4" s="16">
        <f t="shared" ref="D4:D5" si="0">B:B*C:C</f>
        <v>1200</v>
      </c>
    </row>
    <row r="5" spans="1:4" x14ac:dyDescent="0.3">
      <c r="A5" s="16" t="s">
        <v>174</v>
      </c>
      <c r="B5" s="16">
        <v>1</v>
      </c>
      <c r="C5" s="18">
        <v>1000</v>
      </c>
      <c r="D5" s="16">
        <f t="shared" si="0"/>
        <v>1000</v>
      </c>
    </row>
    <row r="6" spans="1:4" x14ac:dyDescent="0.3">
      <c r="D6" s="16">
        <f>SUM(D3:D5)</f>
        <v>3960</v>
      </c>
    </row>
    <row r="9" spans="1:4" x14ac:dyDescent="0.3">
      <c r="A9" s="15"/>
    </row>
    <row r="11" spans="1:4" x14ac:dyDescent="0.3">
      <c r="A11" s="20"/>
    </row>
    <row r="16" spans="1:4" x14ac:dyDescent="0.3">
      <c r="A16" s="15"/>
      <c r="D16" s="18"/>
    </row>
    <row r="18" spans="1:9" x14ac:dyDescent="0.3">
      <c r="I18" s="16" t="s">
        <v>131</v>
      </c>
    </row>
    <row r="21" spans="1:9" x14ac:dyDescent="0.3">
      <c r="A21" s="15"/>
    </row>
    <row r="27" spans="1:9" s="19" customFormat="1" x14ac:dyDescent="0.3">
      <c r="B27" s="16"/>
      <c r="C27" s="16"/>
      <c r="D27" s="16"/>
    </row>
    <row r="28" spans="1:9" s="19" customFormat="1" x14ac:dyDescent="0.3">
      <c r="A28" s="16"/>
      <c r="B28" s="16"/>
      <c r="C28" s="16"/>
      <c r="D28" s="16"/>
    </row>
    <row r="30" spans="1:9" x14ac:dyDescent="0.3">
      <c r="A30" s="20"/>
    </row>
    <row r="33" spans="1:1" x14ac:dyDescent="0.3">
      <c r="A33" s="20"/>
    </row>
    <row r="41" spans="1:1" x14ac:dyDescent="0.3">
      <c r="A41" s="20"/>
    </row>
    <row r="43" spans="1:1" x14ac:dyDescent="0.3">
      <c r="A43" s="15"/>
    </row>
    <row r="44" spans="1:1" x14ac:dyDescent="0.3">
      <c r="A44" s="20"/>
    </row>
    <row r="47" spans="1:1" x14ac:dyDescent="0.3">
      <c r="A47" s="20"/>
    </row>
    <row r="48" spans="1:1" x14ac:dyDescent="0.3">
      <c r="A48" s="15"/>
    </row>
    <row r="53" spans="1:1" x14ac:dyDescent="0.3">
      <c r="A53" s="2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selection activeCell="C27" sqref="C27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13.33203125" style="16" customWidth="1"/>
    <col min="5" max="16384" width="8.88671875" style="16"/>
  </cols>
  <sheetData>
    <row r="1" spans="1:4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4" s="21" customFormat="1" ht="16.2" customHeight="1" x14ac:dyDescent="0.3">
      <c r="A2" s="15">
        <v>45527</v>
      </c>
    </row>
    <row r="3" spans="1:4" x14ac:dyDescent="0.3">
      <c r="A3" s="16" t="s">
        <v>175</v>
      </c>
      <c r="B3" s="16">
        <v>6</v>
      </c>
      <c r="C3" s="16">
        <v>300</v>
      </c>
      <c r="D3" s="16">
        <f>B:B*C:C</f>
        <v>1800</v>
      </c>
    </row>
    <row r="4" spans="1:4" x14ac:dyDescent="0.3">
      <c r="A4" s="16" t="s">
        <v>176</v>
      </c>
      <c r="B4" s="16">
        <v>2</v>
      </c>
      <c r="C4" s="16">
        <v>125</v>
      </c>
      <c r="D4" s="16">
        <f t="shared" ref="D4:D6" si="0">B:B*C:C</f>
        <v>250</v>
      </c>
    </row>
    <row r="5" spans="1:4" x14ac:dyDescent="0.3">
      <c r="A5" s="16" t="s">
        <v>177</v>
      </c>
      <c r="B5" s="16">
        <v>1</v>
      </c>
      <c r="C5" s="18">
        <v>125</v>
      </c>
      <c r="D5" s="16">
        <f t="shared" si="0"/>
        <v>125</v>
      </c>
    </row>
    <row r="6" spans="1:4" x14ac:dyDescent="0.3">
      <c r="A6" s="16" t="s">
        <v>178</v>
      </c>
      <c r="B6" s="16">
        <v>2</v>
      </c>
      <c r="C6" s="16">
        <v>250</v>
      </c>
      <c r="D6" s="16">
        <f t="shared" si="0"/>
        <v>500</v>
      </c>
    </row>
    <row r="7" spans="1:4" x14ac:dyDescent="0.3">
      <c r="D7" s="16">
        <f>SUM(D3:D6)</f>
        <v>2675</v>
      </c>
    </row>
    <row r="10" spans="1:4" x14ac:dyDescent="0.3">
      <c r="A10" s="15">
        <v>45535</v>
      </c>
    </row>
    <row r="11" spans="1:4" x14ac:dyDescent="0.3">
      <c r="A11" s="20" t="s">
        <v>179</v>
      </c>
      <c r="B11" s="16">
        <v>4</v>
      </c>
      <c r="C11" s="16">
        <v>600</v>
      </c>
      <c r="D11" s="16">
        <f>B:B*C:C</f>
        <v>2400</v>
      </c>
    </row>
    <row r="12" spans="1:4" x14ac:dyDescent="0.3">
      <c r="A12" s="16" t="s">
        <v>98</v>
      </c>
      <c r="B12" s="16">
        <v>4</v>
      </c>
      <c r="C12" s="16">
        <v>450</v>
      </c>
      <c r="D12" s="16">
        <f>B:B*C:C</f>
        <v>1800</v>
      </c>
    </row>
    <row r="13" spans="1:4" x14ac:dyDescent="0.3">
      <c r="D13" s="16">
        <f>SUM(D11:D12)</f>
        <v>4200</v>
      </c>
    </row>
    <row r="16" spans="1:4" x14ac:dyDescent="0.3">
      <c r="A16" s="20"/>
      <c r="D16" s="18"/>
    </row>
    <row r="18" spans="1:9" x14ac:dyDescent="0.3">
      <c r="I18" s="16" t="s">
        <v>131</v>
      </c>
    </row>
    <row r="21" spans="1:9" x14ac:dyDescent="0.3">
      <c r="A21" s="20"/>
    </row>
    <row r="27" spans="1:9" s="19" customFormat="1" x14ac:dyDescent="0.3">
      <c r="B27" s="16"/>
      <c r="C27" s="16"/>
      <c r="D27" s="16"/>
    </row>
    <row r="28" spans="1:9" s="19" customFormat="1" x14ac:dyDescent="0.3">
      <c r="A28" s="16"/>
      <c r="B28" s="16"/>
      <c r="C28" s="16"/>
      <c r="D28" s="16"/>
    </row>
    <row r="30" spans="1:9" x14ac:dyDescent="0.3">
      <c r="A30" s="20"/>
    </row>
    <row r="33" spans="1:1" x14ac:dyDescent="0.3">
      <c r="A33" s="20"/>
    </row>
    <row r="41" spans="1:1" x14ac:dyDescent="0.3">
      <c r="A41" s="20"/>
    </row>
    <row r="43" spans="1:1" x14ac:dyDescent="0.3">
      <c r="A43" s="15"/>
    </row>
    <row r="44" spans="1:1" x14ac:dyDescent="0.3">
      <c r="A44" s="20"/>
    </row>
    <row r="47" spans="1:1" x14ac:dyDescent="0.3">
      <c r="A47" s="20"/>
    </row>
    <row r="48" spans="1:1" x14ac:dyDescent="0.3">
      <c r="A48" s="15"/>
    </row>
    <row r="53" spans="1:1" x14ac:dyDescent="0.3">
      <c r="A53" s="2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selection activeCell="G27" sqref="G27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13.33203125" style="16" customWidth="1"/>
    <col min="5" max="16384" width="8.88671875" style="16"/>
  </cols>
  <sheetData>
    <row r="1" spans="1:4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4" s="21" customFormat="1" ht="16.2" customHeight="1" x14ac:dyDescent="0.3">
      <c r="A2" s="15">
        <v>45549</v>
      </c>
    </row>
    <row r="3" spans="1:4" x14ac:dyDescent="0.3">
      <c r="A3" s="16" t="s">
        <v>180</v>
      </c>
      <c r="B3" s="16">
        <v>4</v>
      </c>
      <c r="C3" s="16">
        <v>600</v>
      </c>
      <c r="D3" s="16">
        <f>B:B*C:C</f>
        <v>2400</v>
      </c>
    </row>
    <row r="4" spans="1:4" x14ac:dyDescent="0.3">
      <c r="A4" s="16" t="s">
        <v>181</v>
      </c>
      <c r="B4" s="16">
        <v>2</v>
      </c>
      <c r="C4" s="16">
        <v>600</v>
      </c>
      <c r="D4" s="16">
        <f t="shared" ref="D4:D5" si="0">B:B*C:C</f>
        <v>1200</v>
      </c>
    </row>
    <row r="5" spans="1:4" x14ac:dyDescent="0.3">
      <c r="A5" s="16" t="s">
        <v>182</v>
      </c>
      <c r="B5" s="16">
        <v>30</v>
      </c>
      <c r="C5" s="18">
        <v>110</v>
      </c>
      <c r="D5" s="16">
        <f t="shared" si="0"/>
        <v>3300</v>
      </c>
    </row>
    <row r="6" spans="1:4" s="17" customFormat="1" x14ac:dyDescent="0.3">
      <c r="A6" s="20"/>
    </row>
    <row r="10" spans="1:4" x14ac:dyDescent="0.3">
      <c r="A10" s="15">
        <v>45553</v>
      </c>
    </row>
    <row r="11" spans="1:4" x14ac:dyDescent="0.3">
      <c r="A11" s="20" t="s">
        <v>183</v>
      </c>
      <c r="B11" s="16">
        <v>6</v>
      </c>
      <c r="C11" s="16">
        <v>300</v>
      </c>
      <c r="D11" s="16">
        <v>1800</v>
      </c>
    </row>
    <row r="12" spans="1:4" x14ac:dyDescent="0.3">
      <c r="A12" s="16" t="s">
        <v>184</v>
      </c>
      <c r="B12" s="16">
        <v>2</v>
      </c>
      <c r="C12" s="16">
        <v>110</v>
      </c>
      <c r="D12" s="16">
        <v>220</v>
      </c>
    </row>
    <row r="16" spans="1:4" x14ac:dyDescent="0.3">
      <c r="A16" s="20"/>
      <c r="D16" s="18"/>
    </row>
    <row r="18" spans="1:9" x14ac:dyDescent="0.3">
      <c r="I18" s="16" t="s">
        <v>131</v>
      </c>
    </row>
    <row r="21" spans="1:9" x14ac:dyDescent="0.3">
      <c r="A21" s="20"/>
    </row>
    <row r="27" spans="1:9" s="19" customFormat="1" x14ac:dyDescent="0.3">
      <c r="B27" s="16"/>
      <c r="C27" s="16"/>
      <c r="D27" s="16"/>
    </row>
    <row r="28" spans="1:9" s="19" customFormat="1" x14ac:dyDescent="0.3">
      <c r="A28" s="16"/>
      <c r="B28" s="16"/>
      <c r="C28" s="16"/>
      <c r="D28" s="16"/>
    </row>
    <row r="30" spans="1:9" x14ac:dyDescent="0.3">
      <c r="A30" s="20"/>
    </row>
    <row r="33" spans="1:1" x14ac:dyDescent="0.3">
      <c r="A33" s="20"/>
    </row>
    <row r="41" spans="1:1" x14ac:dyDescent="0.3">
      <c r="A41" s="20"/>
    </row>
    <row r="43" spans="1:1" x14ac:dyDescent="0.3">
      <c r="A43" s="15"/>
    </row>
    <row r="44" spans="1:1" x14ac:dyDescent="0.3">
      <c r="A44" s="20"/>
    </row>
    <row r="47" spans="1:1" x14ac:dyDescent="0.3">
      <c r="A47" s="20"/>
    </row>
    <row r="48" spans="1:1" x14ac:dyDescent="0.3">
      <c r="A48" s="15"/>
    </row>
    <row r="53" spans="1:1" x14ac:dyDescent="0.3">
      <c r="A53" s="2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opLeftCell="A4" workbookViewId="0">
      <selection activeCell="B26" sqref="B26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13.33203125" style="16" customWidth="1"/>
    <col min="5" max="16384" width="8.88671875" style="16"/>
  </cols>
  <sheetData>
    <row r="1" spans="1:4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4" s="21" customFormat="1" ht="16.2" customHeight="1" x14ac:dyDescent="0.3">
      <c r="A2" s="12"/>
    </row>
    <row r="5" spans="1:4" x14ac:dyDescent="0.3">
      <c r="C5" s="18"/>
    </row>
    <row r="6" spans="1:4" s="17" customFormat="1" x14ac:dyDescent="0.3">
      <c r="A6" s="20"/>
    </row>
    <row r="10" spans="1:4" x14ac:dyDescent="0.3">
      <c r="A10" s="15">
        <v>45578</v>
      </c>
    </row>
    <row r="11" spans="1:4" x14ac:dyDescent="0.3">
      <c r="A11" s="16" t="s">
        <v>183</v>
      </c>
      <c r="B11" s="16">
        <v>6</v>
      </c>
      <c r="C11" s="16">
        <v>300</v>
      </c>
      <c r="D11" s="16">
        <v>1800</v>
      </c>
    </row>
    <row r="14" spans="1:4" x14ac:dyDescent="0.3">
      <c r="A14" s="15">
        <v>45584</v>
      </c>
    </row>
    <row r="15" spans="1:4" x14ac:dyDescent="0.3">
      <c r="A15" s="16" t="s">
        <v>39</v>
      </c>
      <c r="B15" s="16">
        <v>10</v>
      </c>
      <c r="C15" s="16">
        <v>400</v>
      </c>
      <c r="D15" s="16">
        <v>4000</v>
      </c>
    </row>
    <row r="16" spans="1:4" x14ac:dyDescent="0.3">
      <c r="A16" s="20" t="s">
        <v>185</v>
      </c>
      <c r="B16" s="16">
        <v>6</v>
      </c>
      <c r="C16" s="16">
        <v>600</v>
      </c>
      <c r="D16" s="18">
        <v>3600</v>
      </c>
    </row>
    <row r="17" spans="1:9" x14ac:dyDescent="0.3">
      <c r="A17" s="16" t="s">
        <v>85</v>
      </c>
      <c r="B17" s="16">
        <v>150</v>
      </c>
      <c r="C17" s="16">
        <v>30</v>
      </c>
      <c r="D17" s="16">
        <v>4500</v>
      </c>
    </row>
    <row r="18" spans="1:9" x14ac:dyDescent="0.3">
      <c r="A18" s="16" t="s">
        <v>162</v>
      </c>
      <c r="B18" s="16">
        <v>50</v>
      </c>
      <c r="C18" s="16">
        <v>25</v>
      </c>
      <c r="D18" s="16">
        <v>1250</v>
      </c>
      <c r="I18" s="16" t="s">
        <v>131</v>
      </c>
    </row>
    <row r="19" spans="1:9" x14ac:dyDescent="0.3">
      <c r="A19" s="16" t="s">
        <v>41</v>
      </c>
      <c r="B19" s="16">
        <v>50</v>
      </c>
      <c r="C19" s="16">
        <v>25</v>
      </c>
      <c r="D19" s="16">
        <v>1250</v>
      </c>
    </row>
    <row r="20" spans="1:9" x14ac:dyDescent="0.3">
      <c r="A20" s="16" t="s">
        <v>44</v>
      </c>
      <c r="B20" s="16">
        <v>1</v>
      </c>
      <c r="C20" s="16">
        <v>600</v>
      </c>
      <c r="D20" s="16">
        <v>600</v>
      </c>
    </row>
    <row r="21" spans="1:9" x14ac:dyDescent="0.3">
      <c r="A21" s="20" t="s">
        <v>186</v>
      </c>
      <c r="B21" s="16">
        <v>4</v>
      </c>
      <c r="C21" s="16">
        <v>300</v>
      </c>
      <c r="D21" s="16">
        <v>1200</v>
      </c>
    </row>
    <row r="22" spans="1:9" x14ac:dyDescent="0.3">
      <c r="A22" s="16" t="s">
        <v>187</v>
      </c>
      <c r="B22" s="16">
        <v>8</v>
      </c>
      <c r="C22" s="16">
        <v>300</v>
      </c>
      <c r="D22" s="16">
        <v>2400</v>
      </c>
    </row>
    <row r="23" spans="1:9" x14ac:dyDescent="0.3">
      <c r="A23" s="16" t="s">
        <v>188</v>
      </c>
      <c r="B23" s="16">
        <v>238</v>
      </c>
      <c r="C23" s="16">
        <v>30</v>
      </c>
      <c r="D23" s="16">
        <v>7140</v>
      </c>
    </row>
    <row r="24" spans="1:9" x14ac:dyDescent="0.3">
      <c r="D24" s="26">
        <v>25940</v>
      </c>
    </row>
    <row r="25" spans="1:9" x14ac:dyDescent="0.3">
      <c r="A25" s="15"/>
    </row>
    <row r="27" spans="1:9" s="19" customFormat="1" x14ac:dyDescent="0.3">
      <c r="B27" s="16"/>
      <c r="C27" s="16"/>
      <c r="D27" s="16"/>
    </row>
    <row r="28" spans="1:9" s="19" customFormat="1" x14ac:dyDescent="0.3">
      <c r="A28" s="16"/>
      <c r="B28" s="16"/>
      <c r="C28" s="16"/>
      <c r="D28" s="16"/>
    </row>
    <row r="30" spans="1:9" x14ac:dyDescent="0.3">
      <c r="A30" s="20"/>
    </row>
    <row r="33" spans="1:1" x14ac:dyDescent="0.3">
      <c r="A33" s="20"/>
    </row>
    <row r="41" spans="1:1" x14ac:dyDescent="0.3">
      <c r="A41" s="20"/>
    </row>
    <row r="43" spans="1:1" x14ac:dyDescent="0.3">
      <c r="A43" s="15"/>
    </row>
    <row r="44" spans="1:1" x14ac:dyDescent="0.3">
      <c r="A44" s="20"/>
    </row>
    <row r="47" spans="1:1" x14ac:dyDescent="0.3">
      <c r="A47" s="20"/>
    </row>
    <row r="48" spans="1:1" x14ac:dyDescent="0.3">
      <c r="A48" s="15"/>
    </row>
    <row r="53" spans="1:1" x14ac:dyDescent="0.3">
      <c r="A53" s="20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topLeftCell="A16" workbookViewId="0">
      <selection activeCell="D26" sqref="D26:D30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13.33203125" style="16" customWidth="1"/>
    <col min="5" max="16384" width="8.88671875" style="16"/>
  </cols>
  <sheetData>
    <row r="1" spans="1:4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4" s="21" customFormat="1" ht="16.2" customHeight="1" x14ac:dyDescent="0.3">
      <c r="A2" s="15">
        <v>45597</v>
      </c>
      <c r="B2" s="16"/>
      <c r="C2" s="16"/>
      <c r="D2" s="16"/>
    </row>
    <row r="3" spans="1:4" x14ac:dyDescent="0.3">
      <c r="A3" s="16" t="s">
        <v>190</v>
      </c>
      <c r="B3" s="16">
        <v>120</v>
      </c>
      <c r="C3" s="16">
        <v>40</v>
      </c>
      <c r="D3" s="16">
        <v>4800</v>
      </c>
    </row>
    <row r="4" spans="1:4" x14ac:dyDescent="0.3">
      <c r="A4" s="19"/>
    </row>
    <row r="5" spans="1:4" x14ac:dyDescent="0.3">
      <c r="C5" s="18"/>
    </row>
    <row r="6" spans="1:4" s="17" customFormat="1" x14ac:dyDescent="0.3">
      <c r="A6" s="15">
        <v>45599</v>
      </c>
    </row>
    <row r="7" spans="1:4" x14ac:dyDescent="0.3">
      <c r="A7" s="16" t="s">
        <v>191</v>
      </c>
      <c r="B7" s="16">
        <v>40</v>
      </c>
      <c r="C7" s="16">
        <v>150</v>
      </c>
      <c r="D7" s="16">
        <v>6000</v>
      </c>
    </row>
    <row r="10" spans="1:4" s="17" customFormat="1" x14ac:dyDescent="0.3">
      <c r="A10" s="15">
        <v>45605</v>
      </c>
    </row>
    <row r="11" spans="1:4" x14ac:dyDescent="0.3">
      <c r="A11" s="16" t="s">
        <v>192</v>
      </c>
      <c r="B11" s="16">
        <v>3</v>
      </c>
      <c r="C11" s="16">
        <v>300</v>
      </c>
      <c r="D11" s="16">
        <v>900</v>
      </c>
    </row>
    <row r="12" spans="1:4" x14ac:dyDescent="0.3">
      <c r="A12" s="16" t="s">
        <v>193</v>
      </c>
      <c r="B12" s="16">
        <v>30</v>
      </c>
      <c r="C12" s="16">
        <v>150</v>
      </c>
      <c r="D12" s="16">
        <v>4500</v>
      </c>
    </row>
    <row r="13" spans="1:4" x14ac:dyDescent="0.3">
      <c r="D13" s="16">
        <f>SUM(D11:D12)</f>
        <v>5400</v>
      </c>
    </row>
    <row r="14" spans="1:4" s="17" customFormat="1" x14ac:dyDescent="0.3">
      <c r="A14" s="15">
        <v>45603</v>
      </c>
    </row>
    <row r="15" spans="1:4" x14ac:dyDescent="0.3">
      <c r="A15" s="16" t="s">
        <v>194</v>
      </c>
      <c r="B15" s="16">
        <v>10</v>
      </c>
      <c r="C15" s="16">
        <v>400</v>
      </c>
      <c r="D15" s="16">
        <v>4000</v>
      </c>
    </row>
    <row r="16" spans="1:4" x14ac:dyDescent="0.3">
      <c r="A16" s="20" t="s">
        <v>195</v>
      </c>
      <c r="B16" s="16">
        <v>5</v>
      </c>
      <c r="C16" s="16">
        <v>300</v>
      </c>
      <c r="D16" s="18">
        <v>1500</v>
      </c>
    </row>
    <row r="17" spans="1:9" x14ac:dyDescent="0.3">
      <c r="A17" s="16" t="s">
        <v>196</v>
      </c>
      <c r="B17" s="16">
        <v>2</v>
      </c>
      <c r="C17" s="16">
        <v>300</v>
      </c>
      <c r="D17" s="16">
        <v>600</v>
      </c>
    </row>
    <row r="18" spans="1:9" x14ac:dyDescent="0.3">
      <c r="A18" s="16" t="s">
        <v>197</v>
      </c>
      <c r="B18" s="16">
        <v>3</v>
      </c>
      <c r="C18" s="16">
        <v>150</v>
      </c>
      <c r="D18" s="16">
        <v>450</v>
      </c>
      <c r="I18" s="16" t="s">
        <v>131</v>
      </c>
    </row>
    <row r="19" spans="1:9" x14ac:dyDescent="0.3">
      <c r="A19" s="16" t="s">
        <v>198</v>
      </c>
      <c r="B19" s="16">
        <v>1</v>
      </c>
      <c r="C19" s="16">
        <v>600</v>
      </c>
      <c r="D19" s="16">
        <v>600</v>
      </c>
    </row>
    <row r="20" spans="1:9" x14ac:dyDescent="0.3">
      <c r="A20" s="16" t="s">
        <v>199</v>
      </c>
      <c r="B20" s="16">
        <v>2</v>
      </c>
      <c r="C20" s="16">
        <v>600</v>
      </c>
      <c r="D20" s="16">
        <v>1200</v>
      </c>
    </row>
    <row r="21" spans="1:9" x14ac:dyDescent="0.3">
      <c r="A21" s="20"/>
      <c r="D21" s="16">
        <f>SUM(D15:D20)</f>
        <v>8350</v>
      </c>
    </row>
    <row r="22" spans="1:9" x14ac:dyDescent="0.3">
      <c r="A22" s="15">
        <v>45612</v>
      </c>
    </row>
    <row r="23" spans="1:9" x14ac:dyDescent="0.3">
      <c r="A23" s="16" t="s">
        <v>200</v>
      </c>
      <c r="B23" s="16">
        <v>2</v>
      </c>
      <c r="C23" s="16">
        <v>150</v>
      </c>
      <c r="D23" s="16">
        <v>300</v>
      </c>
    </row>
    <row r="25" spans="1:9" x14ac:dyDescent="0.3">
      <c r="A25" s="15">
        <v>45618</v>
      </c>
    </row>
    <row r="26" spans="1:9" x14ac:dyDescent="0.3">
      <c r="A26" s="16" t="s">
        <v>183</v>
      </c>
      <c r="B26" s="16">
        <v>3</v>
      </c>
      <c r="C26" s="16">
        <v>300</v>
      </c>
      <c r="D26" s="16">
        <v>900</v>
      </c>
    </row>
    <row r="27" spans="1:9" x14ac:dyDescent="0.3">
      <c r="A27" s="16" t="s">
        <v>206</v>
      </c>
      <c r="B27" s="16">
        <v>2</v>
      </c>
      <c r="C27" s="16">
        <v>400</v>
      </c>
      <c r="D27" s="16">
        <v>800</v>
      </c>
    </row>
    <row r="28" spans="1:9" ht="16.2" customHeight="1" x14ac:dyDescent="0.3">
      <c r="A28" s="16" t="s">
        <v>208</v>
      </c>
      <c r="B28" s="16">
        <v>2</v>
      </c>
      <c r="C28" s="16">
        <v>250</v>
      </c>
      <c r="D28" s="26">
        <v>500</v>
      </c>
    </row>
    <row r="29" spans="1:9" x14ac:dyDescent="0.3">
      <c r="A29" s="16" t="s">
        <v>207</v>
      </c>
      <c r="B29" s="16">
        <v>1</v>
      </c>
      <c r="C29" s="16">
        <v>250</v>
      </c>
      <c r="D29" s="26">
        <v>200</v>
      </c>
    </row>
    <row r="30" spans="1:9" x14ac:dyDescent="0.3">
      <c r="D30" s="26">
        <f>SUM(D26:D29)</f>
        <v>2400</v>
      </c>
    </row>
    <row r="31" spans="1:9" x14ac:dyDescent="0.3">
      <c r="D31" s="26"/>
    </row>
    <row r="32" spans="1:9" x14ac:dyDescent="0.3">
      <c r="A32" s="15">
        <v>45619</v>
      </c>
    </row>
    <row r="33" spans="1:4" x14ac:dyDescent="0.3">
      <c r="A33" s="16" t="s">
        <v>204</v>
      </c>
      <c r="B33" s="16">
        <v>100</v>
      </c>
      <c r="C33" s="16">
        <v>150</v>
      </c>
      <c r="D33" s="18">
        <v>15000</v>
      </c>
    </row>
    <row r="34" spans="1:4" s="19" customFormat="1" x14ac:dyDescent="0.3">
      <c r="A34" s="19" t="s">
        <v>202</v>
      </c>
      <c r="B34" s="19">
        <v>6</v>
      </c>
      <c r="C34" s="19">
        <v>400</v>
      </c>
      <c r="D34" s="19">
        <v>2400</v>
      </c>
    </row>
    <row r="35" spans="1:4" s="19" customFormat="1" x14ac:dyDescent="0.3">
      <c r="A35" s="16" t="s">
        <v>203</v>
      </c>
      <c r="B35" s="16">
        <v>4</v>
      </c>
      <c r="C35" s="16">
        <v>200</v>
      </c>
      <c r="D35" s="16">
        <v>800</v>
      </c>
    </row>
    <row r="36" spans="1:4" x14ac:dyDescent="0.3">
      <c r="A36" s="16" t="s">
        <v>205</v>
      </c>
      <c r="B36" s="16">
        <v>250</v>
      </c>
      <c r="C36" s="16">
        <v>25</v>
      </c>
      <c r="D36" s="16">
        <v>6250</v>
      </c>
    </row>
    <row r="37" spans="1:4" x14ac:dyDescent="0.3">
      <c r="A37" s="20"/>
      <c r="D37" s="18">
        <f>SUM(D33:D36)</f>
        <v>24450</v>
      </c>
    </row>
    <row r="40" spans="1:4" x14ac:dyDescent="0.3">
      <c r="A40" s="20"/>
    </row>
    <row r="48" spans="1:4" x14ac:dyDescent="0.3">
      <c r="A48" s="20"/>
    </row>
    <row r="50" spans="1:1" x14ac:dyDescent="0.3">
      <c r="A50" s="15"/>
    </row>
    <row r="51" spans="1:1" x14ac:dyDescent="0.3">
      <c r="A51" s="20"/>
    </row>
    <row r="54" spans="1:1" x14ac:dyDescent="0.3">
      <c r="A54" s="20"/>
    </row>
    <row r="55" spans="1:1" x14ac:dyDescent="0.3">
      <c r="A55" s="15"/>
    </row>
    <row r="60" spans="1:1" x14ac:dyDescent="0.3">
      <c r="A60" s="20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topLeftCell="A4" workbookViewId="0">
      <selection activeCell="D23" sqref="D23:D25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13.33203125" style="16" customWidth="1"/>
    <col min="5" max="5" width="18.6640625" style="16" customWidth="1"/>
    <col min="6" max="16384" width="8.88671875" style="16"/>
  </cols>
  <sheetData>
    <row r="1" spans="1:5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5" s="21" customFormat="1" ht="16.2" customHeight="1" x14ac:dyDescent="0.3">
      <c r="A2" s="15">
        <v>45640</v>
      </c>
      <c r="B2" s="16"/>
      <c r="C2" s="16"/>
      <c r="D2" s="16"/>
    </row>
    <row r="3" spans="1:5" x14ac:dyDescent="0.3">
      <c r="A3" s="16" t="s">
        <v>209</v>
      </c>
      <c r="B3" s="16">
        <v>350</v>
      </c>
      <c r="C3" s="16">
        <v>150</v>
      </c>
      <c r="D3" s="16">
        <f>B3*C3</f>
        <v>52500</v>
      </c>
    </row>
    <row r="4" spans="1:5" x14ac:dyDescent="0.3">
      <c r="A4" s="19"/>
    </row>
    <row r="5" spans="1:5" x14ac:dyDescent="0.3">
      <c r="C5" s="18"/>
    </row>
    <row r="6" spans="1:5" s="17" customFormat="1" x14ac:dyDescent="0.3">
      <c r="A6" s="15">
        <v>45639</v>
      </c>
      <c r="D6" s="16"/>
    </row>
    <row r="7" spans="1:5" x14ac:dyDescent="0.3">
      <c r="A7" s="16" t="s">
        <v>210</v>
      </c>
      <c r="B7" s="16">
        <v>10</v>
      </c>
      <c r="C7" s="16">
        <v>150</v>
      </c>
      <c r="D7" s="16">
        <f t="shared" ref="D7:D25" si="0">B7*C7</f>
        <v>1500</v>
      </c>
    </row>
    <row r="8" spans="1:5" x14ac:dyDescent="0.3">
      <c r="A8" s="16" t="s">
        <v>211</v>
      </c>
      <c r="B8" s="16">
        <v>1</v>
      </c>
      <c r="C8" s="16">
        <v>300</v>
      </c>
      <c r="D8" s="16">
        <f t="shared" si="0"/>
        <v>300</v>
      </c>
    </row>
    <row r="9" spans="1:5" x14ac:dyDescent="0.3">
      <c r="A9" s="16" t="s">
        <v>212</v>
      </c>
      <c r="B9" s="16">
        <v>10</v>
      </c>
      <c r="C9" s="16">
        <v>35</v>
      </c>
      <c r="D9" s="16">
        <f t="shared" si="0"/>
        <v>350</v>
      </c>
    </row>
    <row r="10" spans="1:5" s="17" customFormat="1" x14ac:dyDescent="0.3">
      <c r="A10" s="15">
        <v>45641</v>
      </c>
      <c r="D10" s="16">
        <f>SUM(D7:D9)</f>
        <v>2150</v>
      </c>
    </row>
    <row r="11" spans="1:5" x14ac:dyDescent="0.3">
      <c r="A11" s="16" t="s">
        <v>209</v>
      </c>
      <c r="B11" s="16">
        <v>50</v>
      </c>
      <c r="C11" s="16">
        <v>150</v>
      </c>
      <c r="D11" s="18">
        <v>14500</v>
      </c>
      <c r="E11" s="16" t="s">
        <v>214</v>
      </c>
    </row>
    <row r="14" spans="1:5" s="17" customFormat="1" x14ac:dyDescent="0.3">
      <c r="A14" s="15">
        <v>45647</v>
      </c>
      <c r="D14" s="16"/>
    </row>
    <row r="15" spans="1:5" x14ac:dyDescent="0.3">
      <c r="A15" s="16" t="s">
        <v>213</v>
      </c>
      <c r="B15" s="16">
        <v>4</v>
      </c>
      <c r="C15" s="16">
        <v>300</v>
      </c>
      <c r="D15" s="16">
        <f t="shared" si="0"/>
        <v>1200</v>
      </c>
    </row>
    <row r="16" spans="1:5" x14ac:dyDescent="0.3">
      <c r="A16" s="20" t="s">
        <v>52</v>
      </c>
      <c r="B16" s="16">
        <v>40</v>
      </c>
      <c r="C16" s="16">
        <v>150</v>
      </c>
      <c r="D16" s="16">
        <f t="shared" si="0"/>
        <v>6000</v>
      </c>
    </row>
    <row r="17" spans="1:4" x14ac:dyDescent="0.3">
      <c r="D17" s="16">
        <f>SUM(D15:D16)</f>
        <v>7200</v>
      </c>
    </row>
    <row r="21" spans="1:4" x14ac:dyDescent="0.3">
      <c r="A21" s="20"/>
    </row>
    <row r="22" spans="1:4" x14ac:dyDescent="0.3">
      <c r="A22" s="15">
        <v>45646</v>
      </c>
    </row>
    <row r="23" spans="1:4" x14ac:dyDescent="0.3">
      <c r="A23" s="16" t="s">
        <v>87</v>
      </c>
      <c r="B23" s="16">
        <v>3</v>
      </c>
      <c r="C23" s="16">
        <v>300</v>
      </c>
      <c r="D23" s="16">
        <f t="shared" si="0"/>
        <v>900</v>
      </c>
    </row>
    <row r="24" spans="1:4" x14ac:dyDescent="0.3">
      <c r="A24" s="16" t="s">
        <v>127</v>
      </c>
      <c r="B24" s="16">
        <v>2</v>
      </c>
      <c r="C24" s="16">
        <v>250</v>
      </c>
      <c r="D24" s="16">
        <f t="shared" si="0"/>
        <v>500</v>
      </c>
    </row>
    <row r="25" spans="1:4" x14ac:dyDescent="0.3">
      <c r="A25" s="15"/>
      <c r="D25" s="16">
        <f t="shared" si="0"/>
        <v>0</v>
      </c>
    </row>
    <row r="26" spans="1:4" x14ac:dyDescent="0.3">
      <c r="D26" s="16">
        <f>SUM(D23:D24)</f>
        <v>1400</v>
      </c>
    </row>
    <row r="28" spans="1:4" ht="16.2" customHeight="1" x14ac:dyDescent="0.3">
      <c r="D28" s="26"/>
    </row>
    <row r="29" spans="1:4" x14ac:dyDescent="0.3">
      <c r="D29" s="26"/>
    </row>
    <row r="30" spans="1:4" x14ac:dyDescent="0.3">
      <c r="D30" s="26"/>
    </row>
    <row r="31" spans="1:4" x14ac:dyDescent="0.3">
      <c r="D31" s="26"/>
    </row>
    <row r="32" spans="1:4" x14ac:dyDescent="0.3">
      <c r="A32" s="15"/>
    </row>
    <row r="33" spans="1:4" x14ac:dyDescent="0.3">
      <c r="D33" s="18"/>
    </row>
    <row r="34" spans="1:4" s="19" customFormat="1" x14ac:dyDescent="0.3"/>
    <row r="35" spans="1:4" s="19" customFormat="1" x14ac:dyDescent="0.3">
      <c r="A35" s="16"/>
      <c r="B35" s="16"/>
      <c r="C35" s="16"/>
      <c r="D35" s="16"/>
    </row>
    <row r="37" spans="1:4" x14ac:dyDescent="0.3">
      <c r="A37" s="20"/>
      <c r="D37" s="18"/>
    </row>
    <row r="40" spans="1:4" x14ac:dyDescent="0.3">
      <c r="A40" s="20"/>
    </row>
    <row r="48" spans="1:4" x14ac:dyDescent="0.3">
      <c r="A48" s="20"/>
    </row>
    <row r="50" spans="1:1" x14ac:dyDescent="0.3">
      <c r="A50" s="15"/>
    </row>
    <row r="51" spans="1:1" x14ac:dyDescent="0.3">
      <c r="A51" s="20"/>
    </row>
    <row r="54" spans="1:1" x14ac:dyDescent="0.3">
      <c r="A54" s="20"/>
    </row>
    <row r="55" spans="1:1" x14ac:dyDescent="0.3">
      <c r="A55" s="15"/>
    </row>
    <row r="60" spans="1:1" x14ac:dyDescent="0.3">
      <c r="A60" s="20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workbookViewId="0">
      <selection activeCell="D19" sqref="D19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13.33203125" style="16" customWidth="1"/>
    <col min="5" max="5" width="18.6640625" style="16" customWidth="1"/>
    <col min="6" max="16384" width="8.88671875" style="16"/>
  </cols>
  <sheetData>
    <row r="1" spans="1:4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4" s="21" customFormat="1" ht="16.2" customHeight="1" x14ac:dyDescent="0.3">
      <c r="A2" s="15">
        <v>45675</v>
      </c>
      <c r="B2" s="16"/>
      <c r="C2" s="16"/>
      <c r="D2" s="16"/>
    </row>
    <row r="3" spans="1:4" x14ac:dyDescent="0.3">
      <c r="A3" s="16" t="s">
        <v>204</v>
      </c>
      <c r="B3" s="16">
        <v>80</v>
      </c>
      <c r="C3" s="16">
        <v>150</v>
      </c>
      <c r="D3" s="18">
        <v>12000</v>
      </c>
    </row>
    <row r="4" spans="1:4" x14ac:dyDescent="0.3">
      <c r="A4" s="19" t="s">
        <v>217</v>
      </c>
      <c r="B4" s="16" t="s">
        <v>218</v>
      </c>
      <c r="C4" s="16">
        <v>1200</v>
      </c>
      <c r="D4" s="16">
        <v>1200</v>
      </c>
    </row>
    <row r="5" spans="1:4" x14ac:dyDescent="0.3">
      <c r="C5" s="18"/>
      <c r="D5" s="18">
        <f>SUM(D3:D4)</f>
        <v>13200</v>
      </c>
    </row>
    <row r="6" spans="1:4" x14ac:dyDescent="0.3">
      <c r="A6" s="15">
        <v>45676</v>
      </c>
    </row>
    <row r="7" spans="1:4" x14ac:dyDescent="0.3">
      <c r="A7" s="16" t="s">
        <v>52</v>
      </c>
      <c r="B7" s="16">
        <v>244</v>
      </c>
      <c r="C7" s="16">
        <v>150</v>
      </c>
      <c r="D7" s="18">
        <v>36600</v>
      </c>
    </row>
    <row r="13" spans="1:4" s="17" customFormat="1" x14ac:dyDescent="0.3">
      <c r="A13" s="15">
        <v>45678</v>
      </c>
      <c r="D13" s="16"/>
    </row>
    <row r="14" spans="1:4" x14ac:dyDescent="0.3">
      <c r="A14" s="16" t="s">
        <v>52</v>
      </c>
      <c r="B14" s="16">
        <v>244</v>
      </c>
      <c r="C14" s="16">
        <v>150</v>
      </c>
      <c r="D14" s="18">
        <v>36600</v>
      </c>
    </row>
    <row r="15" spans="1:4" x14ac:dyDescent="0.3">
      <c r="A15" s="20"/>
    </row>
    <row r="18" spans="1:4" x14ac:dyDescent="0.3">
      <c r="A18" s="15">
        <v>45682</v>
      </c>
    </row>
    <row r="19" spans="1:4" x14ac:dyDescent="0.3">
      <c r="A19" s="16" t="s">
        <v>220</v>
      </c>
      <c r="B19" s="16">
        <v>3</v>
      </c>
      <c r="C19" s="16">
        <v>500</v>
      </c>
      <c r="D19" s="16">
        <v>1500</v>
      </c>
    </row>
    <row r="21" spans="1:4" x14ac:dyDescent="0.3">
      <c r="A21" s="20"/>
    </row>
    <row r="25" spans="1:4" x14ac:dyDescent="0.3">
      <c r="A25" s="15"/>
    </row>
    <row r="28" spans="1:4" ht="16.2" customHeight="1" x14ac:dyDescent="0.3">
      <c r="D28" s="26"/>
    </row>
    <row r="29" spans="1:4" x14ac:dyDescent="0.3">
      <c r="D29" s="26"/>
    </row>
    <row r="30" spans="1:4" x14ac:dyDescent="0.3">
      <c r="D30" s="26"/>
    </row>
    <row r="31" spans="1:4" x14ac:dyDescent="0.3">
      <c r="D31" s="26"/>
    </row>
    <row r="32" spans="1:4" x14ac:dyDescent="0.3">
      <c r="A32" s="15"/>
    </row>
    <row r="33" spans="1:4" x14ac:dyDescent="0.3">
      <c r="D33" s="18"/>
    </row>
    <row r="34" spans="1:4" s="19" customFormat="1" x14ac:dyDescent="0.3"/>
    <row r="35" spans="1:4" s="19" customFormat="1" x14ac:dyDescent="0.3">
      <c r="A35" s="16"/>
      <c r="B35" s="16"/>
      <c r="C35" s="16"/>
      <c r="D35" s="16"/>
    </row>
    <row r="37" spans="1:4" x14ac:dyDescent="0.3">
      <c r="A37" s="20"/>
      <c r="D37" s="18"/>
    </row>
    <row r="40" spans="1:4" x14ac:dyDescent="0.3">
      <c r="A40" s="20"/>
    </row>
    <row r="48" spans="1:4" x14ac:dyDescent="0.3">
      <c r="A48" s="20"/>
    </row>
    <row r="50" spans="1:1" x14ac:dyDescent="0.3">
      <c r="A50" s="15"/>
    </row>
    <row r="51" spans="1:1" x14ac:dyDescent="0.3">
      <c r="A51" s="20"/>
    </row>
    <row r="54" spans="1:1" x14ac:dyDescent="0.3">
      <c r="A54" s="20"/>
    </row>
    <row r="55" spans="1:1" x14ac:dyDescent="0.3">
      <c r="A55" s="15"/>
    </row>
    <row r="60" spans="1:1" x14ac:dyDescent="0.3">
      <c r="A60" s="20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topLeftCell="A13" workbookViewId="0">
      <selection activeCell="D26" sqref="D26:D30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13.33203125" style="16" customWidth="1"/>
    <col min="5" max="5" width="18.6640625" style="16" customWidth="1"/>
    <col min="6" max="16384" width="8.88671875" style="16"/>
  </cols>
  <sheetData>
    <row r="1" spans="1:4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4" s="21" customFormat="1" ht="16.2" customHeight="1" x14ac:dyDescent="0.3">
      <c r="A2" s="15">
        <v>45689</v>
      </c>
      <c r="B2" s="16"/>
      <c r="C2" s="16"/>
      <c r="D2" s="16"/>
    </row>
    <row r="3" spans="1:4" x14ac:dyDescent="0.3">
      <c r="A3" s="16" t="s">
        <v>89</v>
      </c>
      <c r="B3" s="16">
        <v>200</v>
      </c>
      <c r="C3" s="16">
        <v>25</v>
      </c>
      <c r="D3" s="18">
        <v>5000</v>
      </c>
    </row>
    <row r="4" spans="1:4" x14ac:dyDescent="0.3">
      <c r="A4" s="19" t="s">
        <v>52</v>
      </c>
      <c r="B4" s="16">
        <v>200</v>
      </c>
      <c r="C4" s="16">
        <v>150</v>
      </c>
      <c r="D4" s="18">
        <v>30000</v>
      </c>
    </row>
    <row r="5" spans="1:4" x14ac:dyDescent="0.3">
      <c r="C5" s="18"/>
      <c r="D5" s="18">
        <f>SUM(D3:D4)</f>
        <v>35000</v>
      </c>
    </row>
    <row r="6" spans="1:4" x14ac:dyDescent="0.3">
      <c r="A6" s="15">
        <v>45693</v>
      </c>
    </row>
    <row r="7" spans="1:4" x14ac:dyDescent="0.3">
      <c r="A7" s="16" t="s">
        <v>156</v>
      </c>
      <c r="B7" s="16">
        <v>50</v>
      </c>
      <c r="C7" s="16">
        <v>40</v>
      </c>
      <c r="D7" s="16">
        <v>2000</v>
      </c>
    </row>
    <row r="9" spans="1:4" x14ac:dyDescent="0.3">
      <c r="A9" s="15">
        <v>45696</v>
      </c>
    </row>
    <row r="10" spans="1:4" x14ac:dyDescent="0.3">
      <c r="A10" s="16" t="s">
        <v>147</v>
      </c>
      <c r="B10" s="16">
        <v>6</v>
      </c>
      <c r="C10" s="16">
        <v>600</v>
      </c>
      <c r="D10" s="16">
        <v>3600</v>
      </c>
    </row>
    <row r="11" spans="1:4" x14ac:dyDescent="0.3">
      <c r="A11" s="16" t="s">
        <v>221</v>
      </c>
      <c r="B11" s="16">
        <v>280</v>
      </c>
      <c r="C11" s="16">
        <v>25</v>
      </c>
      <c r="D11" s="16">
        <v>7000</v>
      </c>
    </row>
    <row r="12" spans="1:4" x14ac:dyDescent="0.3">
      <c r="A12" s="16" t="s">
        <v>222</v>
      </c>
      <c r="B12" s="16">
        <v>1</v>
      </c>
      <c r="C12" s="16">
        <v>600</v>
      </c>
      <c r="D12" s="16">
        <v>600</v>
      </c>
    </row>
    <row r="13" spans="1:4" x14ac:dyDescent="0.3">
      <c r="A13" s="16" t="s">
        <v>52</v>
      </c>
      <c r="B13" s="16">
        <v>130</v>
      </c>
      <c r="C13" s="16">
        <v>150</v>
      </c>
      <c r="D13" s="18">
        <v>19500</v>
      </c>
    </row>
    <row r="14" spans="1:4" x14ac:dyDescent="0.3">
      <c r="A14" s="16" t="s">
        <v>223</v>
      </c>
      <c r="B14" s="16">
        <v>1</v>
      </c>
      <c r="C14" s="16">
        <v>4000</v>
      </c>
      <c r="D14" s="16">
        <v>4000</v>
      </c>
    </row>
    <row r="15" spans="1:4" x14ac:dyDescent="0.3">
      <c r="A15" s="16" t="s">
        <v>224</v>
      </c>
      <c r="B15" s="16">
        <v>1</v>
      </c>
      <c r="C15" s="16">
        <v>4000</v>
      </c>
      <c r="D15" s="16">
        <v>4000</v>
      </c>
    </row>
    <row r="16" spans="1:4" x14ac:dyDescent="0.3">
      <c r="D16" s="16">
        <f>SUM(D10:D15)</f>
        <v>38700</v>
      </c>
    </row>
    <row r="17" spans="1:4" x14ac:dyDescent="0.3">
      <c r="A17" s="15">
        <v>45703</v>
      </c>
    </row>
    <row r="18" spans="1:4" x14ac:dyDescent="0.3">
      <c r="A18" s="16" t="s">
        <v>225</v>
      </c>
      <c r="B18" s="16">
        <v>1</v>
      </c>
      <c r="C18" s="16">
        <v>600</v>
      </c>
      <c r="D18" s="16">
        <v>600</v>
      </c>
    </row>
    <row r="19" spans="1:4" x14ac:dyDescent="0.3">
      <c r="A19" s="16" t="s">
        <v>52</v>
      </c>
      <c r="B19" s="16">
        <v>130</v>
      </c>
      <c r="C19" s="16">
        <v>150</v>
      </c>
      <c r="D19" s="18">
        <v>19500</v>
      </c>
    </row>
    <row r="20" spans="1:4" x14ac:dyDescent="0.3">
      <c r="A20" s="16" t="s">
        <v>226</v>
      </c>
      <c r="B20" s="16">
        <v>1</v>
      </c>
      <c r="C20" s="16">
        <v>400</v>
      </c>
      <c r="D20" s="16">
        <v>400</v>
      </c>
    </row>
    <row r="21" spans="1:4" x14ac:dyDescent="0.3">
      <c r="A21" s="20" t="s">
        <v>227</v>
      </c>
      <c r="B21" s="16">
        <v>76</v>
      </c>
      <c r="C21" s="16">
        <v>50</v>
      </c>
      <c r="D21" s="16">
        <v>3800</v>
      </c>
    </row>
    <row r="22" spans="1:4" x14ac:dyDescent="0.3">
      <c r="D22" s="16">
        <f>SUM(D18:D21)</f>
        <v>24300</v>
      </c>
    </row>
    <row r="25" spans="1:4" x14ac:dyDescent="0.3">
      <c r="A25" s="15">
        <v>45710</v>
      </c>
    </row>
    <row r="26" spans="1:4" x14ac:dyDescent="0.3">
      <c r="A26" s="16" t="s">
        <v>209</v>
      </c>
      <c r="B26" s="16">
        <v>345</v>
      </c>
      <c r="C26" s="16">
        <v>150</v>
      </c>
      <c r="D26" s="26">
        <v>51750</v>
      </c>
    </row>
    <row r="27" spans="1:4" x14ac:dyDescent="0.3">
      <c r="A27" s="16" t="s">
        <v>228</v>
      </c>
      <c r="B27" s="16">
        <v>6</v>
      </c>
      <c r="C27" s="16">
        <v>800</v>
      </c>
      <c r="D27" s="27">
        <v>4800</v>
      </c>
    </row>
    <row r="28" spans="1:4" ht="16.2" customHeight="1" x14ac:dyDescent="0.3">
      <c r="A28" s="16" t="s">
        <v>222</v>
      </c>
      <c r="B28" s="16">
        <v>1</v>
      </c>
      <c r="C28" s="16">
        <v>600</v>
      </c>
      <c r="D28" s="26">
        <v>600</v>
      </c>
    </row>
    <row r="29" spans="1:4" x14ac:dyDescent="0.3">
      <c r="A29" s="16" t="s">
        <v>230</v>
      </c>
      <c r="B29" s="16">
        <v>4</v>
      </c>
      <c r="C29" s="16">
        <v>400</v>
      </c>
      <c r="D29" s="26">
        <v>1600</v>
      </c>
    </row>
    <row r="30" spans="1:4" x14ac:dyDescent="0.3">
      <c r="D30" s="26">
        <f>SUM(D26:D29)</f>
        <v>58750</v>
      </c>
    </row>
    <row r="31" spans="1:4" x14ac:dyDescent="0.3">
      <c r="D31" s="26"/>
    </row>
    <row r="32" spans="1:4" x14ac:dyDescent="0.3">
      <c r="A32" s="15"/>
    </row>
    <row r="33" spans="1:4" x14ac:dyDescent="0.3">
      <c r="D33" s="18"/>
    </row>
    <row r="34" spans="1:4" s="19" customFormat="1" x14ac:dyDescent="0.3"/>
    <row r="35" spans="1:4" s="19" customFormat="1" x14ac:dyDescent="0.3">
      <c r="A35" s="16"/>
      <c r="B35" s="16"/>
      <c r="C35" s="16"/>
      <c r="D35" s="16"/>
    </row>
    <row r="37" spans="1:4" x14ac:dyDescent="0.3">
      <c r="A37" s="20"/>
      <c r="D37" s="18"/>
    </row>
    <row r="40" spans="1:4" x14ac:dyDescent="0.3">
      <c r="A40" s="20"/>
    </row>
    <row r="48" spans="1:4" x14ac:dyDescent="0.3">
      <c r="A48" s="20"/>
    </row>
    <row r="50" spans="1:1" x14ac:dyDescent="0.3">
      <c r="A50" s="15"/>
    </row>
    <row r="51" spans="1:1" x14ac:dyDescent="0.3">
      <c r="A51" s="20"/>
    </row>
    <row r="54" spans="1:1" x14ac:dyDescent="0.3">
      <c r="A54" s="20"/>
    </row>
    <row r="55" spans="1:1" x14ac:dyDescent="0.3">
      <c r="A55" s="15"/>
    </row>
    <row r="60" spans="1:1" x14ac:dyDescent="0.3">
      <c r="A60" s="20"/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workbookViewId="0">
      <selection activeCell="A6" sqref="A6:D16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13.33203125" style="16" customWidth="1"/>
    <col min="5" max="5" width="18.6640625" style="16" customWidth="1"/>
    <col min="6" max="16384" width="8.88671875" style="16"/>
  </cols>
  <sheetData>
    <row r="1" spans="1:4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4" s="21" customFormat="1" ht="16.2" customHeight="1" x14ac:dyDescent="0.3">
      <c r="A2" s="15">
        <v>45738</v>
      </c>
      <c r="B2" s="16"/>
      <c r="C2" s="16"/>
      <c r="D2" s="16"/>
    </row>
    <row r="3" spans="1:4" x14ac:dyDescent="0.3">
      <c r="A3" s="16" t="s">
        <v>145</v>
      </c>
      <c r="B3" s="16">
        <v>70</v>
      </c>
      <c r="C3" s="16">
        <v>150</v>
      </c>
      <c r="D3" s="18">
        <f>B3*C3</f>
        <v>10500</v>
      </c>
    </row>
    <row r="4" spans="1:4" x14ac:dyDescent="0.3">
      <c r="A4" s="19"/>
      <c r="D4" s="18"/>
    </row>
    <row r="5" spans="1:4" x14ac:dyDescent="0.3">
      <c r="C5" s="18"/>
      <c r="D5" s="18"/>
    </row>
    <row r="6" spans="1:4" x14ac:dyDescent="0.3">
      <c r="A6" s="15"/>
    </row>
    <row r="9" spans="1:4" x14ac:dyDescent="0.3">
      <c r="A9" s="15"/>
    </row>
    <row r="13" spans="1:4" x14ac:dyDescent="0.3">
      <c r="D13" s="18"/>
    </row>
    <row r="17" spans="1:4" x14ac:dyDescent="0.3">
      <c r="A17" s="15"/>
    </row>
    <row r="19" spans="1:4" x14ac:dyDescent="0.3">
      <c r="D19" s="18"/>
    </row>
    <row r="21" spans="1:4" x14ac:dyDescent="0.3">
      <c r="A21" s="20"/>
    </row>
    <row r="25" spans="1:4" x14ac:dyDescent="0.3">
      <c r="A25" s="15"/>
    </row>
    <row r="28" spans="1:4" ht="16.2" customHeight="1" x14ac:dyDescent="0.3">
      <c r="D28" s="26"/>
    </row>
    <row r="29" spans="1:4" x14ac:dyDescent="0.3">
      <c r="D29" s="26"/>
    </row>
    <row r="30" spans="1:4" x14ac:dyDescent="0.3">
      <c r="D30" s="26"/>
    </row>
    <row r="31" spans="1:4" x14ac:dyDescent="0.3">
      <c r="D31" s="26"/>
    </row>
    <row r="32" spans="1:4" x14ac:dyDescent="0.3">
      <c r="A32" s="15"/>
    </row>
    <row r="33" spans="1:4" x14ac:dyDescent="0.3">
      <c r="D33" s="18"/>
    </row>
    <row r="34" spans="1:4" s="19" customFormat="1" x14ac:dyDescent="0.3"/>
    <row r="35" spans="1:4" s="19" customFormat="1" x14ac:dyDescent="0.3">
      <c r="A35" s="16"/>
      <c r="B35" s="16"/>
      <c r="C35" s="16"/>
      <c r="D35" s="16"/>
    </row>
    <row r="37" spans="1:4" x14ac:dyDescent="0.3">
      <c r="A37" s="20"/>
      <c r="D37" s="18"/>
    </row>
    <row r="40" spans="1:4" x14ac:dyDescent="0.3">
      <c r="A40" s="20"/>
    </row>
    <row r="48" spans="1:4" x14ac:dyDescent="0.3">
      <c r="A48" s="20"/>
    </row>
    <row r="50" spans="1:1" x14ac:dyDescent="0.3">
      <c r="A50" s="15"/>
    </row>
    <row r="51" spans="1:1" x14ac:dyDescent="0.3">
      <c r="A51" s="20"/>
    </row>
    <row r="54" spans="1:1" x14ac:dyDescent="0.3">
      <c r="A54" s="20"/>
    </row>
    <row r="55" spans="1:1" x14ac:dyDescent="0.3">
      <c r="A55" s="15"/>
    </row>
    <row r="60" spans="1:1" x14ac:dyDescent="0.3">
      <c r="A60" s="20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opLeftCell="A13" workbookViewId="0">
      <selection activeCell="D33" sqref="D33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13.33203125" style="16" customWidth="1"/>
    <col min="5" max="5" width="18.6640625" style="16" customWidth="1"/>
    <col min="6" max="16384" width="8.88671875" style="16"/>
  </cols>
  <sheetData>
    <row r="1" spans="1:4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4" s="21" customFormat="1" ht="16.2" customHeight="1" x14ac:dyDescent="0.3">
      <c r="A2" s="15">
        <v>45748</v>
      </c>
      <c r="B2" s="16"/>
      <c r="C2" s="16"/>
      <c r="D2" s="16"/>
    </row>
    <row r="3" spans="1:4" x14ac:dyDescent="0.3">
      <c r="A3" s="16" t="s">
        <v>52</v>
      </c>
      <c r="B3" s="16">
        <v>35</v>
      </c>
      <c r="C3" s="16">
        <v>150</v>
      </c>
      <c r="D3" s="18">
        <v>5250</v>
      </c>
    </row>
    <row r="4" spans="1:4" x14ac:dyDescent="0.3">
      <c r="D4" s="18"/>
    </row>
    <row r="5" spans="1:4" x14ac:dyDescent="0.3">
      <c r="A5" s="15">
        <v>45750</v>
      </c>
      <c r="D5" s="18"/>
    </row>
    <row r="6" spans="1:4" x14ac:dyDescent="0.3">
      <c r="A6" s="16" t="s">
        <v>31</v>
      </c>
      <c r="B6" s="16">
        <v>2</v>
      </c>
      <c r="C6" s="16">
        <v>400</v>
      </c>
      <c r="D6" s="16">
        <v>800</v>
      </c>
    </row>
    <row r="7" spans="1:4" x14ac:dyDescent="0.3">
      <c r="A7" s="16" t="s">
        <v>52</v>
      </c>
      <c r="B7" s="16">
        <v>30</v>
      </c>
      <c r="C7" s="16">
        <v>150</v>
      </c>
      <c r="D7" s="16">
        <v>4500</v>
      </c>
    </row>
    <row r="10" spans="1:4" x14ac:dyDescent="0.3">
      <c r="A10" s="15">
        <v>45759</v>
      </c>
    </row>
    <row r="11" spans="1:4" x14ac:dyDescent="0.3">
      <c r="A11" s="16" t="s">
        <v>232</v>
      </c>
      <c r="B11" s="16">
        <v>409</v>
      </c>
      <c r="C11" s="16">
        <v>150</v>
      </c>
      <c r="D11" s="18">
        <v>61350</v>
      </c>
    </row>
    <row r="12" spans="1:4" x14ac:dyDescent="0.3">
      <c r="A12" s="16" t="s">
        <v>233</v>
      </c>
      <c r="B12" s="16">
        <v>20</v>
      </c>
      <c r="C12" s="16">
        <v>25</v>
      </c>
      <c r="D12" s="16">
        <v>500</v>
      </c>
    </row>
    <row r="13" spans="1:4" x14ac:dyDescent="0.3">
      <c r="A13" s="16" t="s">
        <v>222</v>
      </c>
      <c r="B13" s="16">
        <v>1</v>
      </c>
      <c r="C13" s="16">
        <v>700</v>
      </c>
      <c r="D13" s="18">
        <v>700</v>
      </c>
    </row>
    <row r="14" spans="1:4" x14ac:dyDescent="0.3">
      <c r="A14" s="16" t="s">
        <v>234</v>
      </c>
      <c r="B14" s="16">
        <v>8</v>
      </c>
      <c r="C14" s="16">
        <v>600</v>
      </c>
      <c r="D14" s="16">
        <v>4800</v>
      </c>
    </row>
    <row r="15" spans="1:4" x14ac:dyDescent="0.3">
      <c r="A15" s="16" t="s">
        <v>140</v>
      </c>
      <c r="C15" s="16">
        <v>8400</v>
      </c>
      <c r="D15" s="16">
        <v>8400</v>
      </c>
    </row>
    <row r="16" spans="1:4" x14ac:dyDescent="0.3">
      <c r="A16" s="16" t="s">
        <v>235</v>
      </c>
      <c r="C16" s="16">
        <v>4000</v>
      </c>
      <c r="D16" s="16">
        <v>4000</v>
      </c>
    </row>
    <row r="17" spans="1:4" x14ac:dyDescent="0.3">
      <c r="A17" s="15">
        <v>45760</v>
      </c>
      <c r="D17" s="18"/>
    </row>
    <row r="18" spans="1:4" x14ac:dyDescent="0.3">
      <c r="A18" s="16" t="s">
        <v>89</v>
      </c>
      <c r="B18" s="16">
        <v>40</v>
      </c>
      <c r="C18" s="16">
        <v>25</v>
      </c>
      <c r="D18" s="16">
        <v>1000</v>
      </c>
    </row>
    <row r="19" spans="1:4" x14ac:dyDescent="0.3">
      <c r="D19" s="18"/>
    </row>
    <row r="20" spans="1:4" x14ac:dyDescent="0.3">
      <c r="A20" s="15">
        <v>45765</v>
      </c>
    </row>
    <row r="21" spans="1:4" x14ac:dyDescent="0.3">
      <c r="A21" s="20" t="s">
        <v>52</v>
      </c>
      <c r="B21" s="16">
        <v>50</v>
      </c>
      <c r="C21" s="16">
        <v>150</v>
      </c>
      <c r="D21" s="16">
        <v>7500</v>
      </c>
    </row>
    <row r="22" spans="1:4" x14ac:dyDescent="0.3">
      <c r="A22" s="16" t="s">
        <v>236</v>
      </c>
      <c r="B22" s="16">
        <v>6</v>
      </c>
      <c r="C22" s="16">
        <v>650</v>
      </c>
      <c r="D22" s="16">
        <v>3900</v>
      </c>
    </row>
    <row r="23" spans="1:4" x14ac:dyDescent="0.3">
      <c r="A23" s="16" t="s">
        <v>239</v>
      </c>
      <c r="B23" s="16">
        <v>6</v>
      </c>
      <c r="C23" s="16">
        <v>650</v>
      </c>
      <c r="D23" s="16">
        <v>3900</v>
      </c>
    </row>
    <row r="24" spans="1:4" x14ac:dyDescent="0.3">
      <c r="A24" s="16" t="s">
        <v>259</v>
      </c>
      <c r="B24" s="16">
        <v>100</v>
      </c>
      <c r="C24" s="16">
        <v>25</v>
      </c>
      <c r="D24" s="16">
        <v>2500</v>
      </c>
    </row>
    <row r="25" spans="1:4" x14ac:dyDescent="0.3">
      <c r="A25" s="16" t="s">
        <v>267</v>
      </c>
      <c r="B25" s="16">
        <v>12</v>
      </c>
      <c r="C25" s="16">
        <v>175</v>
      </c>
      <c r="D25" s="16">
        <v>2100</v>
      </c>
    </row>
    <row r="26" spans="1:4" x14ac:dyDescent="0.3">
      <c r="A26" s="16" t="s">
        <v>266</v>
      </c>
      <c r="B26" s="16">
        <v>1</v>
      </c>
      <c r="C26" s="16">
        <v>250</v>
      </c>
      <c r="D26" s="16">
        <v>250</v>
      </c>
    </row>
    <row r="27" spans="1:4" x14ac:dyDescent="0.3">
      <c r="A27" s="16" t="s">
        <v>240</v>
      </c>
      <c r="D27" s="16">
        <v>1200</v>
      </c>
    </row>
    <row r="28" spans="1:4" x14ac:dyDescent="0.3">
      <c r="A28" s="15">
        <v>45773</v>
      </c>
    </row>
    <row r="29" spans="1:4" x14ac:dyDescent="0.3">
      <c r="A29" s="16" t="s">
        <v>204</v>
      </c>
      <c r="B29" s="16">
        <v>235</v>
      </c>
      <c r="C29" s="16">
        <v>150</v>
      </c>
      <c r="D29" s="18">
        <v>35250</v>
      </c>
    </row>
    <row r="30" spans="1:4" x14ac:dyDescent="0.3">
      <c r="A30" s="16" t="s">
        <v>239</v>
      </c>
      <c r="B30" s="16">
        <v>6</v>
      </c>
      <c r="C30" s="16">
        <v>650</v>
      </c>
      <c r="D30" s="16">
        <v>3900</v>
      </c>
    </row>
    <row r="31" spans="1:4" x14ac:dyDescent="0.3">
      <c r="A31" s="16" t="s">
        <v>240</v>
      </c>
      <c r="B31" s="16">
        <v>10</v>
      </c>
      <c r="D31" s="16">
        <v>6000</v>
      </c>
    </row>
    <row r="32" spans="1:4" ht="16.2" customHeight="1" x14ac:dyDescent="0.3">
      <c r="A32" s="16" t="s">
        <v>247</v>
      </c>
      <c r="B32" s="16">
        <v>2</v>
      </c>
      <c r="D32" s="29">
        <v>4000</v>
      </c>
    </row>
    <row r="33" spans="1:4" x14ac:dyDescent="0.3">
      <c r="D33" s="26"/>
    </row>
    <row r="34" spans="1:4" x14ac:dyDescent="0.3">
      <c r="D34" s="26"/>
    </row>
    <row r="35" spans="1:4" x14ac:dyDescent="0.3">
      <c r="D35" s="26"/>
    </row>
    <row r="36" spans="1:4" x14ac:dyDescent="0.3">
      <c r="A36" s="15"/>
    </row>
    <row r="37" spans="1:4" x14ac:dyDescent="0.3">
      <c r="D37" s="18"/>
    </row>
    <row r="38" spans="1:4" s="19" customFormat="1" x14ac:dyDescent="0.3"/>
    <row r="39" spans="1:4" s="19" customFormat="1" x14ac:dyDescent="0.3">
      <c r="A39" s="16"/>
      <c r="B39" s="16"/>
      <c r="C39" s="16"/>
      <c r="D39" s="16"/>
    </row>
    <row r="41" spans="1:4" x14ac:dyDescent="0.3">
      <c r="A41" s="20"/>
      <c r="D41" s="18"/>
    </row>
    <row r="44" spans="1:4" x14ac:dyDescent="0.3">
      <c r="A44" s="20"/>
    </row>
    <row r="52" spans="1:1" x14ac:dyDescent="0.3">
      <c r="A52" s="20"/>
    </row>
    <row r="54" spans="1:1" x14ac:dyDescent="0.3">
      <c r="A54" s="15"/>
    </row>
    <row r="55" spans="1:1" x14ac:dyDescent="0.3">
      <c r="A55" s="20"/>
    </row>
    <row r="58" spans="1:1" x14ac:dyDescent="0.3">
      <c r="A58" s="20"/>
    </row>
    <row r="59" spans="1:1" x14ac:dyDescent="0.3">
      <c r="A59" s="15"/>
    </row>
    <row r="64" spans="1:1" x14ac:dyDescent="0.3">
      <c r="A64" s="20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workbookViewId="0">
      <selection activeCell="G12" sqref="G12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13.33203125" style="16" customWidth="1"/>
    <col min="5" max="5" width="18.6640625" style="16" customWidth="1"/>
    <col min="6" max="16384" width="8.88671875" style="16"/>
  </cols>
  <sheetData>
    <row r="1" spans="1:4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4" s="21" customFormat="1" ht="16.2" customHeight="1" x14ac:dyDescent="0.3">
      <c r="A2" s="15">
        <v>45793</v>
      </c>
      <c r="B2" s="16"/>
      <c r="C2" s="16"/>
      <c r="D2" s="16"/>
    </row>
    <row r="3" spans="1:4" x14ac:dyDescent="0.3">
      <c r="A3" s="16" t="s">
        <v>31</v>
      </c>
      <c r="B3" s="16">
        <v>14</v>
      </c>
      <c r="C3" s="16">
        <v>400</v>
      </c>
      <c r="D3" s="18">
        <f>B3*C3</f>
        <v>5600</v>
      </c>
    </row>
    <row r="4" spans="1:4" x14ac:dyDescent="0.3">
      <c r="D4" s="18"/>
    </row>
    <row r="5" spans="1:4" x14ac:dyDescent="0.3">
      <c r="A5" s="15">
        <v>45778</v>
      </c>
      <c r="D5" s="18"/>
    </row>
    <row r="6" spans="1:4" x14ac:dyDescent="0.3">
      <c r="A6" s="16" t="s">
        <v>204</v>
      </c>
      <c r="B6" s="16">
        <v>400</v>
      </c>
      <c r="C6" s="16">
        <v>150</v>
      </c>
      <c r="D6" s="18">
        <v>60000</v>
      </c>
    </row>
    <row r="7" spans="1:4" x14ac:dyDescent="0.3">
      <c r="A7" s="16" t="s">
        <v>241</v>
      </c>
      <c r="B7" s="16">
        <v>300</v>
      </c>
      <c r="C7" s="16">
        <v>75</v>
      </c>
      <c r="D7" s="16">
        <v>22500</v>
      </c>
    </row>
    <row r="8" spans="1:4" x14ac:dyDescent="0.3">
      <c r="A8" s="16" t="s">
        <v>242</v>
      </c>
      <c r="B8" s="16">
        <v>1</v>
      </c>
      <c r="C8" s="16">
        <v>1000</v>
      </c>
      <c r="D8" s="16">
        <v>1000</v>
      </c>
    </row>
    <row r="9" spans="1:4" x14ac:dyDescent="0.3">
      <c r="A9" s="16" t="s">
        <v>265</v>
      </c>
      <c r="B9" s="16">
        <v>24</v>
      </c>
      <c r="D9" s="18">
        <v>14400</v>
      </c>
    </row>
    <row r="10" spans="1:4" x14ac:dyDescent="0.3">
      <c r="A10" s="16" t="s">
        <v>247</v>
      </c>
      <c r="B10" s="16">
        <v>3</v>
      </c>
      <c r="D10" s="16">
        <v>6000</v>
      </c>
    </row>
    <row r="11" spans="1:4" x14ac:dyDescent="0.3">
      <c r="A11" s="15">
        <v>45779</v>
      </c>
      <c r="D11" s="18"/>
    </row>
    <row r="12" spans="1:4" x14ac:dyDescent="0.3">
      <c r="A12" s="16" t="s">
        <v>245</v>
      </c>
      <c r="B12" s="16">
        <v>10</v>
      </c>
      <c r="C12" s="16">
        <v>175</v>
      </c>
      <c r="D12" s="16">
        <v>1750</v>
      </c>
    </row>
    <row r="13" spans="1:4" x14ac:dyDescent="0.3">
      <c r="A13" s="16" t="s">
        <v>246</v>
      </c>
      <c r="B13" s="16">
        <v>2</v>
      </c>
      <c r="C13" s="16">
        <v>300</v>
      </c>
      <c r="D13" s="18">
        <v>600</v>
      </c>
    </row>
    <row r="14" spans="1:4" x14ac:dyDescent="0.3">
      <c r="A14" s="16" t="s">
        <v>240</v>
      </c>
      <c r="D14" s="16">
        <v>1500</v>
      </c>
    </row>
    <row r="15" spans="1:4" x14ac:dyDescent="0.3">
      <c r="A15" s="16" t="s">
        <v>247</v>
      </c>
      <c r="D15" s="16">
        <v>2000</v>
      </c>
    </row>
    <row r="16" spans="1:4" x14ac:dyDescent="0.3">
      <c r="A16" s="15">
        <v>45784</v>
      </c>
    </row>
    <row r="17" spans="1:4" x14ac:dyDescent="0.3">
      <c r="A17" s="16" t="s">
        <v>243</v>
      </c>
      <c r="B17" s="16">
        <v>2</v>
      </c>
      <c r="C17" s="16">
        <v>350</v>
      </c>
      <c r="D17" s="16">
        <v>700</v>
      </c>
    </row>
    <row r="18" spans="1:4" x14ac:dyDescent="0.3">
      <c r="A18" s="16" t="s">
        <v>244</v>
      </c>
      <c r="B18" s="16">
        <v>20</v>
      </c>
      <c r="C18" s="16">
        <v>50</v>
      </c>
      <c r="D18" s="18">
        <v>1000</v>
      </c>
    </row>
    <row r="19" spans="1:4" x14ac:dyDescent="0.3">
      <c r="A19" s="15">
        <v>45791</v>
      </c>
    </row>
    <row r="20" spans="1:4" x14ac:dyDescent="0.3">
      <c r="A20" s="16" t="s">
        <v>248</v>
      </c>
      <c r="B20" s="16">
        <v>400</v>
      </c>
      <c r="C20" s="16">
        <v>150</v>
      </c>
      <c r="D20" s="18">
        <v>60000</v>
      </c>
    </row>
    <row r="21" spans="1:4" x14ac:dyDescent="0.3">
      <c r="A21" s="16" t="s">
        <v>241</v>
      </c>
      <c r="B21" s="16">
        <v>300</v>
      </c>
      <c r="C21" s="16">
        <v>75</v>
      </c>
      <c r="D21" s="18">
        <v>22500</v>
      </c>
    </row>
    <row r="22" spans="1:4" x14ac:dyDescent="0.3">
      <c r="A22" s="16" t="s">
        <v>249</v>
      </c>
      <c r="B22" s="16">
        <v>12</v>
      </c>
      <c r="C22" s="16">
        <v>3500</v>
      </c>
      <c r="D22" s="18">
        <v>42000</v>
      </c>
    </row>
    <row r="23" spans="1:4" x14ac:dyDescent="0.3">
      <c r="A23" s="16" t="s">
        <v>256</v>
      </c>
      <c r="B23" s="16">
        <v>1</v>
      </c>
      <c r="C23" s="16">
        <v>5000</v>
      </c>
      <c r="D23" s="16">
        <v>5000</v>
      </c>
    </row>
    <row r="24" spans="1:4" x14ac:dyDescent="0.3">
      <c r="A24" s="16" t="s">
        <v>250</v>
      </c>
      <c r="B24" s="16">
        <v>20</v>
      </c>
      <c r="C24" s="16">
        <v>650</v>
      </c>
      <c r="D24" s="18">
        <v>13000</v>
      </c>
    </row>
    <row r="25" spans="1:4" x14ac:dyDescent="0.3">
      <c r="A25" s="16" t="s">
        <v>257</v>
      </c>
      <c r="B25" s="16">
        <v>16</v>
      </c>
      <c r="C25" s="16">
        <v>650</v>
      </c>
      <c r="D25" s="18">
        <v>10400</v>
      </c>
    </row>
    <row r="26" spans="1:4" x14ac:dyDescent="0.3">
      <c r="A26" s="16" t="s">
        <v>258</v>
      </c>
      <c r="B26" s="16">
        <v>400</v>
      </c>
      <c r="C26" s="16">
        <v>30</v>
      </c>
      <c r="D26" s="16" t="s">
        <v>268</v>
      </c>
    </row>
    <row r="27" spans="1:4" x14ac:dyDescent="0.3">
      <c r="A27" s="16" t="s">
        <v>259</v>
      </c>
      <c r="B27" s="16">
        <v>300</v>
      </c>
      <c r="C27" s="16">
        <v>25</v>
      </c>
      <c r="D27" s="16">
        <v>7500</v>
      </c>
    </row>
    <row r="28" spans="1:4" x14ac:dyDescent="0.3">
      <c r="A28" s="16" t="s">
        <v>261</v>
      </c>
      <c r="B28" s="16">
        <v>6</v>
      </c>
      <c r="C28" s="16">
        <v>500</v>
      </c>
      <c r="D28" s="16">
        <v>3000</v>
      </c>
    </row>
    <row r="29" spans="1:4" x14ac:dyDescent="0.3">
      <c r="A29" s="16" t="s">
        <v>247</v>
      </c>
      <c r="B29" s="16">
        <v>6</v>
      </c>
      <c r="D29" s="18">
        <v>15600</v>
      </c>
    </row>
    <row r="30" spans="1:4" x14ac:dyDescent="0.3">
      <c r="A30" s="16" t="s">
        <v>240</v>
      </c>
      <c r="B30" s="16">
        <v>14</v>
      </c>
      <c r="D30" s="18">
        <v>14000</v>
      </c>
    </row>
    <row r="31" spans="1:4" ht="16.2" customHeight="1" x14ac:dyDescent="0.3">
      <c r="A31" s="15">
        <v>45792</v>
      </c>
      <c r="D31" s="26"/>
    </row>
    <row r="32" spans="1:4" x14ac:dyDescent="0.3">
      <c r="A32" s="16" t="s">
        <v>251</v>
      </c>
      <c r="B32" s="16">
        <v>10</v>
      </c>
      <c r="C32" s="16">
        <v>400</v>
      </c>
      <c r="D32" s="29">
        <v>4000</v>
      </c>
    </row>
    <row r="33" spans="1:5" x14ac:dyDescent="0.3">
      <c r="A33" s="16" t="s">
        <v>252</v>
      </c>
      <c r="B33" s="16">
        <v>6</v>
      </c>
      <c r="C33" s="16">
        <v>300</v>
      </c>
      <c r="D33" s="29">
        <v>1800</v>
      </c>
    </row>
    <row r="34" spans="1:5" x14ac:dyDescent="0.3">
      <c r="A34" s="16" t="s">
        <v>253</v>
      </c>
      <c r="B34" s="16">
        <v>1</v>
      </c>
      <c r="C34" s="16">
        <v>650</v>
      </c>
      <c r="D34" s="29">
        <v>650</v>
      </c>
    </row>
    <row r="35" spans="1:5" x14ac:dyDescent="0.3">
      <c r="A35" s="16" t="s">
        <v>240</v>
      </c>
      <c r="D35" s="29">
        <v>1200</v>
      </c>
    </row>
    <row r="36" spans="1:5" x14ac:dyDescent="0.3">
      <c r="A36" s="16" t="s">
        <v>247</v>
      </c>
      <c r="D36" s="29">
        <v>1000</v>
      </c>
    </row>
    <row r="37" spans="1:5" x14ac:dyDescent="0.3">
      <c r="A37" s="15">
        <v>45794</v>
      </c>
      <c r="D37" s="26"/>
    </row>
    <row r="38" spans="1:5" x14ac:dyDescent="0.3">
      <c r="A38" s="16" t="s">
        <v>260</v>
      </c>
      <c r="B38" s="16">
        <v>1</v>
      </c>
      <c r="C38" s="16">
        <v>650</v>
      </c>
      <c r="D38" s="29">
        <v>650</v>
      </c>
    </row>
    <row r="39" spans="1:5" x14ac:dyDescent="0.3">
      <c r="A39" s="15">
        <v>45800</v>
      </c>
      <c r="D39" s="26"/>
    </row>
    <row r="40" spans="1:5" x14ac:dyDescent="0.3">
      <c r="A40" s="16" t="s">
        <v>204</v>
      </c>
      <c r="B40" s="16">
        <v>18</v>
      </c>
      <c r="C40" s="16">
        <v>150</v>
      </c>
      <c r="D40" s="29">
        <v>30750</v>
      </c>
    </row>
    <row r="41" spans="1:5" x14ac:dyDescent="0.3">
      <c r="A41" s="16" t="s">
        <v>240</v>
      </c>
      <c r="B41" s="16">
        <v>7</v>
      </c>
      <c r="D41" s="29">
        <v>750</v>
      </c>
    </row>
    <row r="42" spans="1:5" x14ac:dyDescent="0.3">
      <c r="A42" s="15">
        <v>45801</v>
      </c>
      <c r="D42" s="18"/>
    </row>
    <row r="43" spans="1:5" x14ac:dyDescent="0.3">
      <c r="A43" s="16" t="s">
        <v>204</v>
      </c>
      <c r="B43" s="16">
        <v>350</v>
      </c>
      <c r="C43" s="16">
        <v>150</v>
      </c>
      <c r="D43" s="18">
        <v>52500</v>
      </c>
      <c r="E43" s="18"/>
    </row>
    <row r="44" spans="1:5" s="19" customFormat="1" x14ac:dyDescent="0.3">
      <c r="A44" s="19" t="s">
        <v>254</v>
      </c>
      <c r="B44" s="19">
        <v>4</v>
      </c>
      <c r="C44" s="19">
        <v>3500</v>
      </c>
      <c r="D44" s="30">
        <v>14000</v>
      </c>
      <c r="E44" s="30"/>
    </row>
    <row r="45" spans="1:5" s="19" customFormat="1" x14ac:dyDescent="0.3">
      <c r="A45" s="16" t="s">
        <v>255</v>
      </c>
      <c r="B45" s="16">
        <v>1</v>
      </c>
      <c r="C45" s="16">
        <v>5000</v>
      </c>
      <c r="D45" s="16">
        <v>5000</v>
      </c>
    </row>
    <row r="46" spans="1:5" s="19" customFormat="1" x14ac:dyDescent="0.3">
      <c r="A46" s="16" t="s">
        <v>261</v>
      </c>
      <c r="B46" s="16">
        <v>6</v>
      </c>
      <c r="C46" s="16">
        <v>500</v>
      </c>
      <c r="D46" s="16">
        <v>3000</v>
      </c>
    </row>
    <row r="47" spans="1:5" x14ac:dyDescent="0.3">
      <c r="A47" s="16" t="s">
        <v>240</v>
      </c>
      <c r="D47" s="16">
        <v>6600</v>
      </c>
    </row>
    <row r="48" spans="1:5" x14ac:dyDescent="0.3">
      <c r="A48" s="20" t="s">
        <v>247</v>
      </c>
      <c r="D48" s="18">
        <v>10000</v>
      </c>
      <c r="E48" s="18"/>
    </row>
    <row r="49" spans="1:5" x14ac:dyDescent="0.3">
      <c r="A49" s="20" t="s">
        <v>263</v>
      </c>
      <c r="D49" s="18">
        <v>7500</v>
      </c>
      <c r="E49" s="18"/>
    </row>
    <row r="50" spans="1:5" x14ac:dyDescent="0.3">
      <c r="A50" s="15">
        <v>45802</v>
      </c>
      <c r="D50" s="18"/>
    </row>
    <row r="51" spans="1:5" x14ac:dyDescent="0.3">
      <c r="A51" s="16" t="s">
        <v>204</v>
      </c>
      <c r="B51" s="16">
        <v>205</v>
      </c>
      <c r="C51" s="16">
        <v>150</v>
      </c>
      <c r="D51" s="18">
        <v>30750</v>
      </c>
    </row>
    <row r="52" spans="1:5" x14ac:dyDescent="0.3">
      <c r="A52" s="20" t="s">
        <v>247</v>
      </c>
      <c r="B52" s="16">
        <v>2</v>
      </c>
      <c r="D52" s="18">
        <v>5000</v>
      </c>
    </row>
    <row r="53" spans="1:5" x14ac:dyDescent="0.3">
      <c r="A53" s="16" t="s">
        <v>240</v>
      </c>
      <c r="B53" s="16">
        <v>7</v>
      </c>
      <c r="D53" s="16">
        <v>4200</v>
      </c>
    </row>
    <row r="54" spans="1:5" x14ac:dyDescent="0.3">
      <c r="A54" s="15">
        <v>45804</v>
      </c>
      <c r="D54" s="18"/>
    </row>
    <row r="55" spans="1:5" x14ac:dyDescent="0.3">
      <c r="A55" s="16" t="s">
        <v>262</v>
      </c>
      <c r="B55" s="16">
        <v>25</v>
      </c>
      <c r="C55" s="16">
        <v>175</v>
      </c>
      <c r="D55" s="16">
        <v>4375</v>
      </c>
    </row>
    <row r="56" spans="1:5" x14ac:dyDescent="0.3">
      <c r="A56" s="16" t="s">
        <v>264</v>
      </c>
      <c r="B56" s="16">
        <v>10</v>
      </c>
      <c r="C56" s="16">
        <v>400</v>
      </c>
      <c r="D56" s="16">
        <v>4000</v>
      </c>
    </row>
    <row r="57" spans="1:5" x14ac:dyDescent="0.3">
      <c r="A57" s="16" t="s">
        <v>240</v>
      </c>
      <c r="D57" s="16">
        <v>1500</v>
      </c>
    </row>
    <row r="58" spans="1:5" x14ac:dyDescent="0.3">
      <c r="D58" s="16">
        <f>SUM(D55:D57)</f>
        <v>9875</v>
      </c>
    </row>
    <row r="59" spans="1:5" x14ac:dyDescent="0.3">
      <c r="A59" s="15">
        <v>45807</v>
      </c>
    </row>
    <row r="60" spans="1:5" x14ac:dyDescent="0.3">
      <c r="A60" s="20" t="s">
        <v>271</v>
      </c>
    </row>
    <row r="61" spans="1:5" x14ac:dyDescent="0.3">
      <c r="A61" s="16" t="s">
        <v>272</v>
      </c>
    </row>
    <row r="62" spans="1:5" x14ac:dyDescent="0.3">
      <c r="A62" s="16" t="s">
        <v>273</v>
      </c>
      <c r="D62" s="18">
        <v>25000</v>
      </c>
    </row>
    <row r="63" spans="1:5" x14ac:dyDescent="0.3">
      <c r="A63" s="15">
        <v>45807</v>
      </c>
    </row>
    <row r="64" spans="1:5" x14ac:dyDescent="0.3">
      <c r="A64" s="16" t="s">
        <v>89</v>
      </c>
      <c r="B64" s="16">
        <v>520</v>
      </c>
      <c r="C64" s="16">
        <v>25</v>
      </c>
    </row>
    <row r="65" spans="1:4" x14ac:dyDescent="0.3">
      <c r="A65" s="16" t="s">
        <v>140</v>
      </c>
      <c r="D65" s="16">
        <v>1200</v>
      </c>
    </row>
    <row r="66" spans="1:4" x14ac:dyDescent="0.3">
      <c r="A66" s="15">
        <v>45808</v>
      </c>
    </row>
    <row r="67" spans="1:4" x14ac:dyDescent="0.3">
      <c r="A67" s="20" t="s">
        <v>52</v>
      </c>
      <c r="B67" s="16">
        <v>450</v>
      </c>
      <c r="C67" s="16">
        <v>150</v>
      </c>
    </row>
    <row r="68" spans="1:4" x14ac:dyDescent="0.3">
      <c r="A68" s="16" t="s">
        <v>274</v>
      </c>
      <c r="B68" s="16">
        <v>6</v>
      </c>
      <c r="C68" s="16">
        <v>650</v>
      </c>
    </row>
    <row r="69" spans="1:4" x14ac:dyDescent="0.3">
      <c r="A69" s="16" t="s">
        <v>288</v>
      </c>
      <c r="B69" s="16">
        <v>2</v>
      </c>
    </row>
    <row r="70" spans="1:4" x14ac:dyDescent="0.3">
      <c r="A70" s="16" t="s">
        <v>290</v>
      </c>
      <c r="B70" s="16">
        <v>1</v>
      </c>
    </row>
    <row r="71" spans="1:4" x14ac:dyDescent="0.3">
      <c r="A71" s="16" t="s">
        <v>292</v>
      </c>
      <c r="D71" s="18">
        <v>15000</v>
      </c>
    </row>
    <row r="72" spans="1:4" x14ac:dyDescent="0.3">
      <c r="A72" s="16" t="s">
        <v>291</v>
      </c>
      <c r="D72" s="16">
        <v>4500</v>
      </c>
    </row>
    <row r="73" spans="1:4" x14ac:dyDescent="0.3">
      <c r="A73" s="20" t="s">
        <v>284</v>
      </c>
      <c r="D73" s="16">
        <v>3000</v>
      </c>
    </row>
    <row r="74" spans="1:4" x14ac:dyDescent="0.3">
      <c r="A74" s="20" t="s">
        <v>293</v>
      </c>
      <c r="D74" s="16">
        <v>9000</v>
      </c>
    </row>
    <row r="75" spans="1:4" x14ac:dyDescent="0.3">
      <c r="A75" s="20"/>
    </row>
    <row r="76" spans="1:4" x14ac:dyDescent="0.3">
      <c r="A76" s="15">
        <v>45808</v>
      </c>
    </row>
    <row r="77" spans="1:4" x14ac:dyDescent="0.3">
      <c r="A77" s="16" t="s">
        <v>289</v>
      </c>
      <c r="B77" s="16">
        <v>50</v>
      </c>
    </row>
    <row r="78" spans="1:4" x14ac:dyDescent="0.3">
      <c r="A78" s="15">
        <v>45808</v>
      </c>
    </row>
    <row r="79" spans="1:4" x14ac:dyDescent="0.3">
      <c r="A79" s="16" t="s">
        <v>276</v>
      </c>
      <c r="B79" s="16">
        <v>200</v>
      </c>
      <c r="C79" s="16">
        <v>175</v>
      </c>
    </row>
    <row r="80" spans="1:4" x14ac:dyDescent="0.3">
      <c r="A80" s="16" t="s">
        <v>277</v>
      </c>
      <c r="B80" s="16">
        <v>300</v>
      </c>
      <c r="C80" s="16">
        <v>150</v>
      </c>
    </row>
    <row r="81" spans="1:4" x14ac:dyDescent="0.3">
      <c r="A81" s="16" t="s">
        <v>278</v>
      </c>
      <c r="B81" s="16" t="s">
        <v>275</v>
      </c>
      <c r="C81" s="16">
        <v>650</v>
      </c>
    </row>
    <row r="82" spans="1:4" x14ac:dyDescent="0.3">
      <c r="A82" s="16" t="s">
        <v>295</v>
      </c>
      <c r="B82" s="16">
        <v>80</v>
      </c>
      <c r="C82" s="16">
        <v>30</v>
      </c>
    </row>
    <row r="83" spans="1:4" x14ac:dyDescent="0.3">
      <c r="A83" s="16" t="s">
        <v>279</v>
      </c>
      <c r="B83" s="16">
        <v>1</v>
      </c>
      <c r="C83" s="16">
        <v>400</v>
      </c>
    </row>
    <row r="84" spans="1:4" x14ac:dyDescent="0.3">
      <c r="A84" s="16" t="s">
        <v>280</v>
      </c>
      <c r="B84" s="16">
        <v>1</v>
      </c>
    </row>
    <row r="85" spans="1:4" x14ac:dyDescent="0.3">
      <c r="A85" s="16" t="s">
        <v>281</v>
      </c>
      <c r="B85" s="16">
        <v>4</v>
      </c>
    </row>
    <row r="86" spans="1:4" x14ac:dyDescent="0.3">
      <c r="A86" s="16" t="s">
        <v>282</v>
      </c>
      <c r="B86" s="16">
        <v>1</v>
      </c>
      <c r="C86" s="16">
        <v>700</v>
      </c>
    </row>
    <row r="87" spans="1:4" x14ac:dyDescent="0.3">
      <c r="A87" s="16" t="s">
        <v>283</v>
      </c>
      <c r="B87" s="16">
        <v>280</v>
      </c>
      <c r="C87" s="16">
        <v>25</v>
      </c>
    </row>
    <row r="88" spans="1:4" x14ac:dyDescent="0.3">
      <c r="A88" s="16" t="s">
        <v>287</v>
      </c>
      <c r="D88" s="18">
        <v>11000</v>
      </c>
    </row>
    <row r="89" spans="1:4" x14ac:dyDescent="0.3">
      <c r="A89" s="16" t="s">
        <v>286</v>
      </c>
      <c r="D89" s="18">
        <v>15000</v>
      </c>
    </row>
    <row r="90" spans="1:4" x14ac:dyDescent="0.3">
      <c r="A90" s="16" t="s">
        <v>285</v>
      </c>
      <c r="D90" s="18">
        <v>12000</v>
      </c>
    </row>
    <row r="91" spans="1:4" x14ac:dyDescent="0.3">
      <c r="A91" s="16" t="s">
        <v>284</v>
      </c>
      <c r="D91" s="16">
        <v>3000</v>
      </c>
    </row>
    <row r="92" spans="1:4" x14ac:dyDescent="0.3">
      <c r="A92" s="15"/>
    </row>
    <row r="94" spans="1:4" x14ac:dyDescent="0.3">
      <c r="A94" s="15"/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topLeftCell="A19" workbookViewId="0">
      <selection activeCell="E60" sqref="E60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23.88671875" style="16" customWidth="1"/>
    <col min="5" max="5" width="18.6640625" style="16" customWidth="1"/>
    <col min="6" max="16384" width="8.88671875" style="16"/>
  </cols>
  <sheetData>
    <row r="1" spans="1:8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8" s="21" customFormat="1" ht="16.2" customHeight="1" x14ac:dyDescent="0.3">
      <c r="A2" s="15">
        <v>45809</v>
      </c>
      <c r="B2" s="16"/>
      <c r="C2" s="16"/>
      <c r="D2" s="16"/>
      <c r="E2" s="16"/>
      <c r="F2" s="16"/>
      <c r="G2" s="16"/>
      <c r="H2" s="16"/>
    </row>
    <row r="3" spans="1:8" x14ac:dyDescent="0.3">
      <c r="A3" s="16" t="s">
        <v>248</v>
      </c>
      <c r="B3" s="16">
        <v>35</v>
      </c>
      <c r="C3" s="16">
        <v>150</v>
      </c>
      <c r="D3" s="16">
        <v>5250</v>
      </c>
    </row>
    <row r="4" spans="1:8" x14ac:dyDescent="0.3">
      <c r="A4" s="15">
        <v>45810</v>
      </c>
    </row>
    <row r="5" spans="1:8" x14ac:dyDescent="0.3">
      <c r="A5" s="16" t="s">
        <v>294</v>
      </c>
      <c r="B5" s="16">
        <v>19</v>
      </c>
      <c r="C5" s="16">
        <v>175</v>
      </c>
      <c r="D5" s="16">
        <v>1425</v>
      </c>
    </row>
    <row r="6" spans="1:8" x14ac:dyDescent="0.3">
      <c r="A6" s="15">
        <v>45819</v>
      </c>
    </row>
    <row r="7" spans="1:8" x14ac:dyDescent="0.3">
      <c r="A7" s="16" t="s">
        <v>302</v>
      </c>
      <c r="B7" s="16">
        <v>20</v>
      </c>
      <c r="C7" s="16">
        <v>150</v>
      </c>
      <c r="D7" s="16">
        <v>3000</v>
      </c>
    </row>
    <row r="8" spans="1:8" x14ac:dyDescent="0.3">
      <c r="A8" s="16" t="s">
        <v>301</v>
      </c>
      <c r="B8" s="16">
        <v>2</v>
      </c>
      <c r="C8" s="16">
        <v>400</v>
      </c>
      <c r="D8" s="16">
        <v>800</v>
      </c>
    </row>
    <row r="9" spans="1:8" x14ac:dyDescent="0.3">
      <c r="A9" s="16" t="s">
        <v>140</v>
      </c>
      <c r="D9" s="16">
        <v>1500</v>
      </c>
    </row>
    <row r="10" spans="1:8" x14ac:dyDescent="0.3">
      <c r="A10" s="16" t="s">
        <v>298</v>
      </c>
      <c r="D10" s="16">
        <v>2500</v>
      </c>
    </row>
    <row r="11" spans="1:8" x14ac:dyDescent="0.3">
      <c r="A11" s="15">
        <v>45821</v>
      </c>
    </row>
    <row r="12" spans="1:8" x14ac:dyDescent="0.3">
      <c r="A12" s="16" t="s">
        <v>336</v>
      </c>
      <c r="B12" s="16">
        <v>3</v>
      </c>
      <c r="C12" s="16">
        <v>400</v>
      </c>
      <c r="D12" s="16">
        <v>1200</v>
      </c>
    </row>
    <row r="13" spans="1:8" x14ac:dyDescent="0.3">
      <c r="A13" s="16" t="s">
        <v>335</v>
      </c>
      <c r="B13" s="16">
        <v>6</v>
      </c>
      <c r="C13" s="16">
        <v>300</v>
      </c>
      <c r="D13" s="16">
        <v>1800</v>
      </c>
    </row>
    <row r="14" spans="1:8" x14ac:dyDescent="0.3">
      <c r="A14" s="16" t="s">
        <v>334</v>
      </c>
      <c r="B14" s="16">
        <v>4</v>
      </c>
      <c r="C14" s="16">
        <v>600</v>
      </c>
      <c r="D14" s="16">
        <v>2400</v>
      </c>
    </row>
    <row r="15" spans="1:8" x14ac:dyDescent="0.3">
      <c r="A15" s="16" t="s">
        <v>333</v>
      </c>
      <c r="B15" s="16">
        <v>2</v>
      </c>
      <c r="C15" s="16">
        <v>250</v>
      </c>
      <c r="D15" s="16">
        <v>500</v>
      </c>
    </row>
    <row r="16" spans="1:8" x14ac:dyDescent="0.3">
      <c r="A16" s="16" t="s">
        <v>332</v>
      </c>
      <c r="B16" s="16">
        <v>4</v>
      </c>
      <c r="C16" s="16">
        <v>150</v>
      </c>
      <c r="D16" s="16">
        <v>300</v>
      </c>
    </row>
    <row r="17" spans="1:4" x14ac:dyDescent="0.3">
      <c r="A17" s="16" t="s">
        <v>331</v>
      </c>
      <c r="B17" s="16">
        <v>2</v>
      </c>
      <c r="C17" s="16">
        <v>650</v>
      </c>
      <c r="D17" s="16">
        <v>1300</v>
      </c>
    </row>
    <row r="18" spans="1:4" x14ac:dyDescent="0.3">
      <c r="A18" s="16" t="s">
        <v>240</v>
      </c>
      <c r="D18" s="16">
        <v>1500</v>
      </c>
    </row>
    <row r="19" spans="1:4" x14ac:dyDescent="0.3">
      <c r="A19" s="16" t="s">
        <v>247</v>
      </c>
      <c r="D19" s="16">
        <v>5000</v>
      </c>
    </row>
    <row r="20" spans="1:4" x14ac:dyDescent="0.3">
      <c r="A20" s="15">
        <v>45822</v>
      </c>
    </row>
    <row r="21" spans="1:4" x14ac:dyDescent="0.3">
      <c r="A21" s="16" t="s">
        <v>307</v>
      </c>
      <c r="B21" s="16">
        <v>50</v>
      </c>
      <c r="C21" s="16">
        <v>50</v>
      </c>
      <c r="D21" s="16">
        <v>2500</v>
      </c>
    </row>
    <row r="22" spans="1:4" x14ac:dyDescent="0.3">
      <c r="A22" s="16" t="s">
        <v>305</v>
      </c>
      <c r="B22" s="16">
        <v>2</v>
      </c>
      <c r="C22" s="16">
        <v>150</v>
      </c>
      <c r="D22" s="16">
        <v>300</v>
      </c>
    </row>
    <row r="23" spans="1:4" x14ac:dyDescent="0.3">
      <c r="A23" s="16" t="s">
        <v>306</v>
      </c>
      <c r="B23" s="16">
        <v>2</v>
      </c>
      <c r="C23" s="16">
        <v>350</v>
      </c>
      <c r="D23" s="16">
        <v>700</v>
      </c>
    </row>
    <row r="24" spans="1:4" x14ac:dyDescent="0.3">
      <c r="A24" s="16" t="s">
        <v>304</v>
      </c>
      <c r="B24" s="16">
        <v>3</v>
      </c>
      <c r="C24" s="16">
        <v>500</v>
      </c>
      <c r="D24" s="16">
        <v>1500</v>
      </c>
    </row>
    <row r="25" spans="1:4" x14ac:dyDescent="0.3">
      <c r="A25" s="16" t="s">
        <v>303</v>
      </c>
      <c r="B25" s="16">
        <v>80</v>
      </c>
      <c r="C25" s="16">
        <v>30</v>
      </c>
      <c r="D25" s="16">
        <v>2400</v>
      </c>
    </row>
    <row r="26" spans="1:4" x14ac:dyDescent="0.3">
      <c r="A26" s="16" t="s">
        <v>240</v>
      </c>
      <c r="D26" s="16">
        <v>2500</v>
      </c>
    </row>
    <row r="27" spans="1:4" x14ac:dyDescent="0.3">
      <c r="A27" s="16" t="s">
        <v>247</v>
      </c>
      <c r="D27" s="16">
        <v>2500</v>
      </c>
    </row>
    <row r="28" spans="1:4" x14ac:dyDescent="0.3">
      <c r="A28" s="15">
        <v>45823</v>
      </c>
    </row>
    <row r="29" spans="1:4" x14ac:dyDescent="0.3">
      <c r="A29" s="16" t="s">
        <v>52</v>
      </c>
      <c r="B29" s="16">
        <v>344</v>
      </c>
      <c r="C29" s="16">
        <v>150</v>
      </c>
      <c r="D29" s="18">
        <v>51600</v>
      </c>
    </row>
    <row r="30" spans="1:4" x14ac:dyDescent="0.3">
      <c r="A30" s="16" t="s">
        <v>300</v>
      </c>
      <c r="B30" s="16">
        <v>6</v>
      </c>
      <c r="C30" s="16">
        <v>500</v>
      </c>
      <c r="D30" s="16">
        <v>3000</v>
      </c>
    </row>
    <row r="31" spans="1:4" x14ac:dyDescent="0.3">
      <c r="A31" s="16" t="s">
        <v>299</v>
      </c>
      <c r="D31" s="16">
        <v>6000</v>
      </c>
    </row>
    <row r="32" spans="1:4" x14ac:dyDescent="0.3">
      <c r="A32" s="16" t="s">
        <v>328</v>
      </c>
      <c r="D32" s="16">
        <v>2400</v>
      </c>
    </row>
    <row r="33" spans="1:8" s="19" customFormat="1" x14ac:dyDescent="0.3">
      <c r="A33" s="16" t="s">
        <v>247</v>
      </c>
      <c r="B33" s="16"/>
      <c r="C33" s="16"/>
      <c r="D33" s="18">
        <v>10000</v>
      </c>
      <c r="E33" s="16"/>
      <c r="F33" s="16"/>
      <c r="G33" s="16"/>
      <c r="H33" s="16"/>
    </row>
    <row r="34" spans="1:8" s="19" customFormat="1" x14ac:dyDescent="0.3">
      <c r="A34" s="16" t="s">
        <v>240</v>
      </c>
      <c r="B34" s="16"/>
      <c r="C34" s="16"/>
      <c r="D34" s="18">
        <v>7800</v>
      </c>
      <c r="E34" s="16"/>
      <c r="F34" s="16"/>
      <c r="G34" s="16"/>
      <c r="H34" s="16"/>
    </row>
    <row r="35" spans="1:8" s="19" customFormat="1" x14ac:dyDescent="0.3">
      <c r="A35" s="15">
        <v>45824</v>
      </c>
      <c r="B35" s="16"/>
      <c r="C35" s="16"/>
      <c r="D35" s="18"/>
      <c r="E35" s="16"/>
      <c r="F35" s="16"/>
      <c r="G35" s="16"/>
      <c r="H35" s="16"/>
    </row>
    <row r="36" spans="1:8" s="19" customFormat="1" x14ac:dyDescent="0.3">
      <c r="A36" s="16" t="s">
        <v>309</v>
      </c>
      <c r="B36" s="16">
        <v>8</v>
      </c>
      <c r="C36" s="16"/>
      <c r="D36" s="16"/>
      <c r="E36" s="16"/>
      <c r="F36" s="16"/>
      <c r="G36" s="16"/>
      <c r="H36" s="16"/>
    </row>
    <row r="37" spans="1:8" x14ac:dyDescent="0.3">
      <c r="A37" s="16" t="s">
        <v>310</v>
      </c>
      <c r="B37" s="16">
        <v>8</v>
      </c>
    </row>
    <row r="38" spans="1:8" x14ac:dyDescent="0.3">
      <c r="A38" s="16" t="s">
        <v>311</v>
      </c>
      <c r="B38" s="16">
        <v>8</v>
      </c>
    </row>
    <row r="39" spans="1:8" x14ac:dyDescent="0.3">
      <c r="A39" s="16" t="s">
        <v>312</v>
      </c>
      <c r="B39" s="16">
        <v>8</v>
      </c>
    </row>
    <row r="40" spans="1:8" x14ac:dyDescent="0.3">
      <c r="A40" s="16" t="s">
        <v>313</v>
      </c>
      <c r="B40" s="16">
        <v>8</v>
      </c>
    </row>
    <row r="41" spans="1:8" x14ac:dyDescent="0.3">
      <c r="A41" s="16" t="s">
        <v>314</v>
      </c>
      <c r="B41" s="16">
        <v>2</v>
      </c>
    </row>
    <row r="42" spans="1:8" x14ac:dyDescent="0.3">
      <c r="A42" s="16" t="s">
        <v>315</v>
      </c>
      <c r="B42" s="16">
        <v>2</v>
      </c>
      <c r="D42" s="17" t="s">
        <v>330</v>
      </c>
    </row>
    <row r="43" spans="1:8" x14ac:dyDescent="0.3">
      <c r="A43" s="16" t="s">
        <v>308</v>
      </c>
    </row>
    <row r="44" spans="1:8" x14ac:dyDescent="0.3">
      <c r="A44" s="15">
        <v>45828</v>
      </c>
    </row>
    <row r="45" spans="1:8" x14ac:dyDescent="0.3">
      <c r="A45" s="16" t="s">
        <v>316</v>
      </c>
      <c r="B45" s="16">
        <v>1</v>
      </c>
      <c r="C45" s="16">
        <v>700</v>
      </c>
      <c r="D45" s="16">
        <v>700</v>
      </c>
    </row>
    <row r="46" spans="1:8" x14ac:dyDescent="0.3">
      <c r="A46" s="16" t="s">
        <v>240</v>
      </c>
      <c r="D46" s="16">
        <v>1750</v>
      </c>
    </row>
    <row r="47" spans="1:8" x14ac:dyDescent="0.3">
      <c r="A47" s="15">
        <v>45829</v>
      </c>
    </row>
    <row r="48" spans="1:8" x14ac:dyDescent="0.3">
      <c r="A48" s="16" t="s">
        <v>325</v>
      </c>
      <c r="B48" s="16">
        <v>6</v>
      </c>
      <c r="C48" s="16">
        <v>650</v>
      </c>
      <c r="D48" s="16">
        <v>3900</v>
      </c>
    </row>
    <row r="49" spans="1:4" x14ac:dyDescent="0.3">
      <c r="A49" s="16" t="s">
        <v>193</v>
      </c>
      <c r="B49" s="16">
        <v>50</v>
      </c>
      <c r="C49" s="16">
        <v>150</v>
      </c>
      <c r="D49" s="16">
        <v>7500</v>
      </c>
    </row>
    <row r="50" spans="1:4" x14ac:dyDescent="0.3">
      <c r="A50" s="16" t="s">
        <v>197</v>
      </c>
      <c r="B50" s="16">
        <v>200</v>
      </c>
      <c r="C50" s="16">
        <v>175</v>
      </c>
      <c r="D50" s="16">
        <v>35000</v>
      </c>
    </row>
    <row r="51" spans="1:4" x14ac:dyDescent="0.3">
      <c r="A51" s="16" t="s">
        <v>326</v>
      </c>
      <c r="B51" s="16">
        <v>4</v>
      </c>
      <c r="C51" s="16">
        <v>3500</v>
      </c>
      <c r="D51" s="16">
        <v>14000</v>
      </c>
    </row>
    <row r="52" spans="1:4" x14ac:dyDescent="0.3">
      <c r="A52" s="16" t="s">
        <v>327</v>
      </c>
      <c r="B52" s="16">
        <v>2</v>
      </c>
      <c r="C52" s="16">
        <v>500</v>
      </c>
      <c r="D52" s="16">
        <v>1000</v>
      </c>
    </row>
    <row r="53" spans="1:4" x14ac:dyDescent="0.3">
      <c r="A53" s="16" t="s">
        <v>328</v>
      </c>
      <c r="D53" s="16">
        <v>2400</v>
      </c>
    </row>
    <row r="54" spans="1:4" x14ac:dyDescent="0.3">
      <c r="A54" s="16" t="s">
        <v>247</v>
      </c>
      <c r="D54" s="18">
        <v>10000</v>
      </c>
    </row>
    <row r="55" spans="1:4" x14ac:dyDescent="0.3">
      <c r="A55" s="16" t="s">
        <v>240</v>
      </c>
      <c r="D55" s="16">
        <v>7200</v>
      </c>
    </row>
    <row r="56" spans="1:4" x14ac:dyDescent="0.3">
      <c r="A56" s="16" t="s">
        <v>329</v>
      </c>
      <c r="D56" s="16">
        <v>5000</v>
      </c>
    </row>
    <row r="57" spans="1:4" x14ac:dyDescent="0.3">
      <c r="A57" s="15">
        <v>45832</v>
      </c>
    </row>
    <row r="58" spans="1:4" x14ac:dyDescent="0.3">
      <c r="A58" s="16" t="s">
        <v>317</v>
      </c>
      <c r="B58" s="16">
        <v>30</v>
      </c>
      <c r="C58" s="16">
        <v>150</v>
      </c>
      <c r="D58" s="16">
        <v>4500</v>
      </c>
    </row>
    <row r="59" spans="1:4" x14ac:dyDescent="0.3">
      <c r="A59" s="16" t="s">
        <v>313</v>
      </c>
      <c r="B59" s="16">
        <v>3</v>
      </c>
      <c r="C59" s="16">
        <v>400</v>
      </c>
      <c r="D59" s="16">
        <v>1200</v>
      </c>
    </row>
    <row r="60" spans="1:4" x14ac:dyDescent="0.3">
      <c r="A60" s="16" t="s">
        <v>318</v>
      </c>
      <c r="B60" s="16">
        <v>1</v>
      </c>
      <c r="C60" s="16">
        <v>300</v>
      </c>
      <c r="D60" s="16">
        <v>300</v>
      </c>
    </row>
    <row r="61" spans="1:4" x14ac:dyDescent="0.3">
      <c r="A61" s="16" t="s">
        <v>319</v>
      </c>
      <c r="B61" s="16">
        <v>2</v>
      </c>
      <c r="C61" s="16">
        <v>1000</v>
      </c>
      <c r="D61" s="16">
        <v>2000</v>
      </c>
    </row>
    <row r="62" spans="1:4" x14ac:dyDescent="0.3">
      <c r="A62" s="15">
        <v>45834</v>
      </c>
    </row>
    <row r="63" spans="1:4" x14ac:dyDescent="0.3">
      <c r="A63" s="16" t="s">
        <v>320</v>
      </c>
      <c r="B63" s="16">
        <v>1</v>
      </c>
      <c r="D63" s="16">
        <v>1500</v>
      </c>
    </row>
    <row r="64" spans="1:4" x14ac:dyDescent="0.3">
      <c r="A64" s="15">
        <v>45835</v>
      </c>
    </row>
    <row r="65" spans="1:4" x14ac:dyDescent="0.3">
      <c r="A65" s="16" t="s">
        <v>321</v>
      </c>
      <c r="B65" s="16">
        <v>15</v>
      </c>
      <c r="C65" s="16">
        <v>600</v>
      </c>
      <c r="D65" s="16">
        <v>9000</v>
      </c>
    </row>
    <row r="66" spans="1:4" x14ac:dyDescent="0.3">
      <c r="A66" s="16" t="s">
        <v>281</v>
      </c>
      <c r="B66" s="16">
        <v>2</v>
      </c>
      <c r="C66" s="16">
        <v>3500</v>
      </c>
      <c r="D66" s="16">
        <v>7000</v>
      </c>
    </row>
    <row r="67" spans="1:4" x14ac:dyDescent="0.3">
      <c r="A67" s="16" t="s">
        <v>339</v>
      </c>
      <c r="B67" s="16">
        <v>6</v>
      </c>
      <c r="C67" s="16">
        <v>650</v>
      </c>
      <c r="D67" s="16">
        <v>3900</v>
      </c>
    </row>
    <row r="68" spans="1:4" x14ac:dyDescent="0.3">
      <c r="A68" s="16" t="s">
        <v>322</v>
      </c>
      <c r="B68" s="16">
        <v>4</v>
      </c>
      <c r="C68" s="16">
        <v>250</v>
      </c>
      <c r="D68" s="16">
        <v>1000</v>
      </c>
    </row>
    <row r="69" spans="1:4" x14ac:dyDescent="0.3">
      <c r="A69" s="16" t="s">
        <v>323</v>
      </c>
      <c r="B69" s="16">
        <v>5</v>
      </c>
      <c r="C69" s="16">
        <v>500</v>
      </c>
      <c r="D69" s="16">
        <v>2500</v>
      </c>
    </row>
    <row r="70" spans="1:4" x14ac:dyDescent="0.3">
      <c r="A70" s="16" t="s">
        <v>324</v>
      </c>
      <c r="B70" s="16">
        <v>2</v>
      </c>
      <c r="C70" s="16">
        <v>500</v>
      </c>
      <c r="D70" s="16">
        <v>1000</v>
      </c>
    </row>
    <row r="71" spans="1:4" x14ac:dyDescent="0.3">
      <c r="A71" s="16" t="s">
        <v>265</v>
      </c>
      <c r="D71" s="16">
        <v>3000</v>
      </c>
    </row>
    <row r="72" spans="1:4" x14ac:dyDescent="0.3">
      <c r="A72" s="16" t="s">
        <v>247</v>
      </c>
      <c r="D72" s="16">
        <v>7200</v>
      </c>
    </row>
    <row r="73" spans="1:4" x14ac:dyDescent="0.3">
      <c r="A73" s="15">
        <v>45836</v>
      </c>
    </row>
    <row r="74" spans="1:4" x14ac:dyDescent="0.3">
      <c r="A74" s="16" t="s">
        <v>337</v>
      </c>
      <c r="B74" s="16">
        <v>8</v>
      </c>
      <c r="C74" s="16">
        <v>300</v>
      </c>
      <c r="D74" s="16">
        <v>2400</v>
      </c>
    </row>
    <row r="75" spans="1:4" x14ac:dyDescent="0.3">
      <c r="A75" s="16" t="s">
        <v>338</v>
      </c>
      <c r="B75" s="16">
        <v>8</v>
      </c>
      <c r="C75" s="16">
        <v>400</v>
      </c>
      <c r="D75" s="16">
        <v>3200</v>
      </c>
    </row>
    <row r="76" spans="1:4" x14ac:dyDescent="0.3">
      <c r="A76" s="16" t="s">
        <v>247</v>
      </c>
      <c r="D76" s="16">
        <v>1500</v>
      </c>
    </row>
    <row r="77" spans="1:4" x14ac:dyDescent="0.3">
      <c r="A77" s="16" t="s">
        <v>240</v>
      </c>
      <c r="D77" s="16">
        <v>1250</v>
      </c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workbookViewId="0">
      <selection activeCell="D21" sqref="D21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23.88671875" style="16" customWidth="1"/>
    <col min="5" max="5" width="18.6640625" style="16" customWidth="1"/>
    <col min="6" max="16384" width="8.88671875" style="16"/>
  </cols>
  <sheetData>
    <row r="1" spans="1:8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8" s="21" customFormat="1" ht="16.2" customHeight="1" x14ac:dyDescent="0.3">
      <c r="A2" s="15">
        <v>45842</v>
      </c>
      <c r="B2" s="16"/>
      <c r="C2" s="16"/>
      <c r="D2" s="16"/>
      <c r="E2" s="16"/>
      <c r="F2" s="16"/>
      <c r="G2" s="16"/>
      <c r="H2" s="16"/>
    </row>
    <row r="3" spans="1:8" x14ac:dyDescent="0.3">
      <c r="A3" s="16" t="s">
        <v>340</v>
      </c>
      <c r="B3" s="16">
        <v>35</v>
      </c>
      <c r="C3" s="16">
        <v>50</v>
      </c>
      <c r="D3" s="16">
        <v>1750</v>
      </c>
    </row>
    <row r="4" spans="1:8" x14ac:dyDescent="0.3">
      <c r="A4" s="15">
        <v>45855</v>
      </c>
    </row>
    <row r="5" spans="1:8" x14ac:dyDescent="0.3">
      <c r="A5" s="16" t="s">
        <v>341</v>
      </c>
      <c r="B5" s="16">
        <v>4</v>
      </c>
      <c r="C5" s="16">
        <v>650</v>
      </c>
      <c r="D5" s="16">
        <v>2600</v>
      </c>
    </row>
    <row r="6" spans="1:8" x14ac:dyDescent="0.3">
      <c r="A6" s="16" t="s">
        <v>52</v>
      </c>
      <c r="B6" s="16">
        <v>32</v>
      </c>
      <c r="C6" s="16">
        <v>150</v>
      </c>
      <c r="D6" s="16">
        <v>4800</v>
      </c>
    </row>
    <row r="7" spans="1:8" x14ac:dyDescent="0.3">
      <c r="A7" s="16" t="s">
        <v>342</v>
      </c>
      <c r="B7" s="16">
        <v>2</v>
      </c>
      <c r="C7" s="16">
        <v>600</v>
      </c>
      <c r="D7" s="16">
        <v>1200</v>
      </c>
    </row>
    <row r="8" spans="1:8" x14ac:dyDescent="0.3">
      <c r="A8" s="16" t="s">
        <v>343</v>
      </c>
      <c r="B8" s="16">
        <v>2</v>
      </c>
      <c r="C8" s="16">
        <v>500</v>
      </c>
      <c r="D8" s="16">
        <v>1000</v>
      </c>
    </row>
    <row r="9" spans="1:8" x14ac:dyDescent="0.3">
      <c r="A9" s="20" t="s">
        <v>344</v>
      </c>
      <c r="B9" s="16">
        <v>1</v>
      </c>
      <c r="C9" s="16">
        <v>500</v>
      </c>
      <c r="D9" s="16">
        <v>500</v>
      </c>
    </row>
    <row r="10" spans="1:8" x14ac:dyDescent="0.3">
      <c r="A10" s="16" t="s">
        <v>345</v>
      </c>
      <c r="B10" s="16">
        <v>4</v>
      </c>
      <c r="C10" s="16">
        <v>3500</v>
      </c>
      <c r="D10" s="18">
        <v>14000</v>
      </c>
    </row>
    <row r="11" spans="1:8" x14ac:dyDescent="0.3">
      <c r="A11" s="16" t="s">
        <v>346</v>
      </c>
      <c r="B11" s="16">
        <v>2</v>
      </c>
      <c r="C11" s="16">
        <v>300</v>
      </c>
      <c r="D11" s="16">
        <v>600</v>
      </c>
    </row>
    <row r="12" spans="1:8" x14ac:dyDescent="0.3">
      <c r="A12" s="16" t="s">
        <v>347</v>
      </c>
      <c r="B12" s="16">
        <v>2</v>
      </c>
      <c r="C12" s="16">
        <v>300</v>
      </c>
      <c r="D12" s="16">
        <v>600</v>
      </c>
    </row>
    <row r="13" spans="1:8" x14ac:dyDescent="0.3">
      <c r="A13" s="16" t="s">
        <v>348</v>
      </c>
      <c r="B13" s="16">
        <v>4</v>
      </c>
      <c r="C13" s="16">
        <v>500</v>
      </c>
      <c r="D13" s="16">
        <v>2000</v>
      </c>
    </row>
    <row r="14" spans="1:8" x14ac:dyDescent="0.3">
      <c r="A14" s="16" t="s">
        <v>349</v>
      </c>
      <c r="B14" s="16">
        <v>1</v>
      </c>
      <c r="C14" s="16">
        <v>300</v>
      </c>
      <c r="D14" s="16">
        <v>300</v>
      </c>
    </row>
    <row r="15" spans="1:8" x14ac:dyDescent="0.3">
      <c r="A15" s="16" t="s">
        <v>350</v>
      </c>
      <c r="B15" s="16">
        <v>4</v>
      </c>
      <c r="C15" s="16">
        <v>600</v>
      </c>
      <c r="D15" s="16">
        <v>2000</v>
      </c>
    </row>
    <row r="16" spans="1:8" x14ac:dyDescent="0.3">
      <c r="A16" s="16" t="s">
        <v>351</v>
      </c>
      <c r="B16" s="16">
        <v>5</v>
      </c>
      <c r="C16" s="16">
        <v>250</v>
      </c>
      <c r="D16" s="16">
        <v>1250</v>
      </c>
    </row>
    <row r="17" spans="1:8" x14ac:dyDescent="0.3">
      <c r="A17" s="16" t="s">
        <v>352</v>
      </c>
      <c r="B17" s="16">
        <v>12</v>
      </c>
      <c r="C17" s="16">
        <v>150</v>
      </c>
      <c r="D17" s="16">
        <v>1800</v>
      </c>
    </row>
    <row r="18" spans="1:8" x14ac:dyDescent="0.3">
      <c r="A18" s="20" t="s">
        <v>353</v>
      </c>
      <c r="B18" s="16">
        <v>8</v>
      </c>
      <c r="C18" s="16">
        <v>400</v>
      </c>
      <c r="D18" s="16">
        <v>3200</v>
      </c>
    </row>
    <row r="19" spans="1:8" x14ac:dyDescent="0.3">
      <c r="A19" s="16" t="s">
        <v>354</v>
      </c>
      <c r="B19" s="16">
        <v>6</v>
      </c>
      <c r="C19" s="16">
        <v>300</v>
      </c>
      <c r="D19" s="16">
        <v>1800</v>
      </c>
    </row>
    <row r="20" spans="1:8" x14ac:dyDescent="0.3">
      <c r="A20" s="16" t="s">
        <v>355</v>
      </c>
      <c r="B20" s="16">
        <v>70</v>
      </c>
      <c r="C20" s="16">
        <v>25</v>
      </c>
      <c r="D20" s="16">
        <v>1750</v>
      </c>
    </row>
    <row r="26" spans="1:8" x14ac:dyDescent="0.3">
      <c r="A26" s="15"/>
    </row>
    <row r="27" spans="1:8" x14ac:dyDescent="0.3">
      <c r="D27" s="18"/>
    </row>
    <row r="31" spans="1:8" s="19" customFormat="1" x14ac:dyDescent="0.3">
      <c r="A31" s="16"/>
      <c r="B31" s="16"/>
      <c r="C31" s="16"/>
      <c r="D31" s="18"/>
      <c r="E31" s="16"/>
      <c r="F31" s="16"/>
      <c r="G31" s="16"/>
      <c r="H31" s="16"/>
    </row>
    <row r="32" spans="1:8" s="19" customFormat="1" x14ac:dyDescent="0.3">
      <c r="A32" s="16"/>
      <c r="B32" s="16"/>
      <c r="C32" s="16"/>
      <c r="D32" s="18"/>
      <c r="E32" s="16"/>
      <c r="F32" s="16"/>
      <c r="G32" s="16"/>
      <c r="H32" s="16"/>
    </row>
    <row r="33" spans="1:8" s="19" customFormat="1" x14ac:dyDescent="0.3">
      <c r="A33" s="15"/>
      <c r="B33" s="16"/>
      <c r="C33" s="16"/>
      <c r="D33" s="18"/>
      <c r="E33" s="16"/>
      <c r="F33" s="16"/>
      <c r="G33" s="16"/>
      <c r="H33" s="16"/>
    </row>
    <row r="34" spans="1:8" s="19" customFormat="1" x14ac:dyDescent="0.3">
      <c r="A34" s="16"/>
      <c r="B34" s="16"/>
      <c r="C34" s="16"/>
      <c r="D34" s="16"/>
      <c r="E34" s="16"/>
      <c r="F34" s="16"/>
      <c r="G34" s="16"/>
      <c r="H34" s="16"/>
    </row>
    <row r="40" spans="1:8" x14ac:dyDescent="0.3">
      <c r="D40" s="17"/>
    </row>
    <row r="42" spans="1:8" x14ac:dyDescent="0.3">
      <c r="A42" s="15"/>
    </row>
    <row r="45" spans="1:8" x14ac:dyDescent="0.3">
      <c r="A45" s="15"/>
    </row>
    <row r="52" spans="1:4" x14ac:dyDescent="0.3">
      <c r="D52" s="18"/>
    </row>
    <row r="55" spans="1:4" x14ac:dyDescent="0.3">
      <c r="A55" s="15"/>
    </row>
    <row r="60" spans="1:4" x14ac:dyDescent="0.3">
      <c r="A60" s="15"/>
    </row>
    <row r="62" spans="1:4" x14ac:dyDescent="0.3">
      <c r="A62" s="15"/>
    </row>
    <row r="71" spans="1:1" x14ac:dyDescent="0.3">
      <c r="A71" s="15"/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workbookViewId="0">
      <selection activeCell="A25" sqref="A25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23.88671875" style="16" customWidth="1"/>
    <col min="5" max="5" width="18.6640625" style="16" customWidth="1"/>
    <col min="6" max="16384" width="8.88671875" style="16"/>
  </cols>
  <sheetData>
    <row r="1" spans="1:8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8" s="21" customFormat="1" ht="16.2" customHeight="1" x14ac:dyDescent="0.3">
      <c r="A2" s="15">
        <v>45892</v>
      </c>
      <c r="B2" s="16"/>
      <c r="C2" s="16"/>
      <c r="D2" s="16"/>
      <c r="E2" s="16"/>
      <c r="F2" s="16"/>
      <c r="G2" s="16"/>
      <c r="H2" s="16"/>
    </row>
    <row r="3" spans="1:8" x14ac:dyDescent="0.3">
      <c r="A3" s="20" t="s">
        <v>358</v>
      </c>
      <c r="B3" s="16">
        <v>6</v>
      </c>
      <c r="C3" s="16">
        <v>650</v>
      </c>
      <c r="D3" s="16">
        <v>3900</v>
      </c>
    </row>
    <row r="4" spans="1:8" x14ac:dyDescent="0.3">
      <c r="A4" s="16" t="s">
        <v>359</v>
      </c>
      <c r="B4" s="16">
        <v>40</v>
      </c>
      <c r="C4" s="16">
        <v>50</v>
      </c>
      <c r="D4" s="16">
        <v>2000</v>
      </c>
    </row>
    <row r="5" spans="1:8" x14ac:dyDescent="0.3">
      <c r="A5" s="15">
        <v>45899</v>
      </c>
      <c r="D5" s="16">
        <f>SUM(D3:D4)</f>
        <v>5900</v>
      </c>
    </row>
    <row r="6" spans="1:8" x14ac:dyDescent="0.3">
      <c r="A6" s="16" t="s">
        <v>257</v>
      </c>
      <c r="B6" s="16">
        <v>4</v>
      </c>
      <c r="C6" s="16">
        <v>650</v>
      </c>
      <c r="D6" s="16">
        <v>2600</v>
      </c>
    </row>
    <row r="8" spans="1:8" x14ac:dyDescent="0.3">
      <c r="A8" s="15">
        <v>45898</v>
      </c>
    </row>
    <row r="9" spans="1:8" x14ac:dyDescent="0.3">
      <c r="A9" s="16" t="s">
        <v>198</v>
      </c>
      <c r="B9" s="16">
        <v>1</v>
      </c>
      <c r="C9" s="16">
        <v>700</v>
      </c>
      <c r="D9" s="16">
        <v>700</v>
      </c>
    </row>
    <row r="19" spans="1:8" x14ac:dyDescent="0.3">
      <c r="A19" s="15"/>
    </row>
    <row r="27" spans="1:8" x14ac:dyDescent="0.3">
      <c r="A27" s="15"/>
    </row>
    <row r="28" spans="1:8" x14ac:dyDescent="0.3">
      <c r="D28" s="18"/>
    </row>
    <row r="32" spans="1:8" s="19" customFormat="1" x14ac:dyDescent="0.3">
      <c r="A32" s="16"/>
      <c r="B32" s="16"/>
      <c r="C32" s="16"/>
      <c r="D32" s="18"/>
      <c r="E32" s="16"/>
      <c r="F32" s="16"/>
      <c r="G32" s="16"/>
      <c r="H32" s="16"/>
    </row>
    <row r="33" spans="1:8" s="19" customFormat="1" x14ac:dyDescent="0.3">
      <c r="A33" s="16"/>
      <c r="B33" s="16"/>
      <c r="C33" s="16"/>
      <c r="D33" s="18"/>
      <c r="E33" s="16"/>
      <c r="F33" s="16"/>
      <c r="G33" s="16"/>
      <c r="H33" s="16"/>
    </row>
    <row r="34" spans="1:8" s="19" customFormat="1" x14ac:dyDescent="0.3">
      <c r="A34" s="15"/>
      <c r="B34" s="16"/>
      <c r="C34" s="16"/>
      <c r="D34" s="18"/>
      <c r="E34" s="16"/>
      <c r="F34" s="16"/>
      <c r="G34" s="16"/>
      <c r="H34" s="16"/>
    </row>
    <row r="35" spans="1:8" s="19" customFormat="1" x14ac:dyDescent="0.3">
      <c r="A35" s="16"/>
      <c r="B35" s="16"/>
      <c r="C35" s="16"/>
      <c r="D35" s="16"/>
      <c r="E35" s="16"/>
      <c r="F35" s="16"/>
      <c r="G35" s="16"/>
      <c r="H35" s="16"/>
    </row>
    <row r="41" spans="1:8" x14ac:dyDescent="0.3">
      <c r="D41" s="17"/>
    </row>
    <row r="43" spans="1:8" x14ac:dyDescent="0.3">
      <c r="A43" s="15"/>
    </row>
    <row r="46" spans="1:8" x14ac:dyDescent="0.3">
      <c r="A46" s="15"/>
    </row>
    <row r="53" spans="1:4" x14ac:dyDescent="0.3">
      <c r="D53" s="18"/>
    </row>
    <row r="56" spans="1:4" x14ac:dyDescent="0.3">
      <c r="A56" s="15"/>
    </row>
    <row r="61" spans="1:4" x14ac:dyDescent="0.3">
      <c r="A61" s="15"/>
    </row>
    <row r="63" spans="1:4" x14ac:dyDescent="0.3">
      <c r="A63" s="15"/>
    </row>
    <row r="72" spans="1:1" x14ac:dyDescent="0.3">
      <c r="A72" s="15"/>
    </row>
  </sheetData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topLeftCell="A42" workbookViewId="0">
      <selection activeCell="D74" sqref="D74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23.88671875" style="16" customWidth="1"/>
    <col min="5" max="5" width="18.6640625" style="16" customWidth="1"/>
    <col min="6" max="16384" width="8.88671875" style="16"/>
  </cols>
  <sheetData>
    <row r="1" spans="1:8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8" s="21" customFormat="1" ht="16.2" customHeight="1" x14ac:dyDescent="0.3">
      <c r="A2" s="15">
        <v>45906</v>
      </c>
      <c r="B2" s="16"/>
      <c r="C2" s="16"/>
      <c r="D2" s="16"/>
      <c r="E2" s="16"/>
      <c r="F2" s="16"/>
      <c r="G2" s="16"/>
      <c r="H2" s="16"/>
    </row>
    <row r="3" spans="1:8" x14ac:dyDescent="0.3">
      <c r="A3" s="20" t="s">
        <v>361</v>
      </c>
      <c r="B3" s="16">
        <v>200</v>
      </c>
      <c r="C3" s="16">
        <v>175</v>
      </c>
      <c r="D3" s="18">
        <v>35000</v>
      </c>
    </row>
    <row r="4" spans="1:8" x14ac:dyDescent="0.3">
      <c r="A4" s="16" t="s">
        <v>360</v>
      </c>
      <c r="B4" s="16">
        <v>100</v>
      </c>
      <c r="C4" s="16">
        <v>175</v>
      </c>
      <c r="D4" s="18">
        <v>17500</v>
      </c>
    </row>
    <row r="5" spans="1:8" x14ac:dyDescent="0.3">
      <c r="A5" s="16" t="s">
        <v>236</v>
      </c>
      <c r="B5" s="16">
        <v>6</v>
      </c>
      <c r="C5" s="16">
        <v>650</v>
      </c>
      <c r="D5" s="16">
        <v>3900</v>
      </c>
    </row>
    <row r="6" spans="1:8" x14ac:dyDescent="0.3">
      <c r="A6" s="20" t="s">
        <v>298</v>
      </c>
      <c r="B6" s="16">
        <v>3</v>
      </c>
      <c r="D6" s="18">
        <v>7500</v>
      </c>
    </row>
    <row r="7" spans="1:8" x14ac:dyDescent="0.3">
      <c r="A7" s="16" t="s">
        <v>140</v>
      </c>
      <c r="B7" s="16">
        <v>8</v>
      </c>
      <c r="D7" s="16">
        <v>4800</v>
      </c>
    </row>
    <row r="8" spans="1:8" x14ac:dyDescent="0.3">
      <c r="A8" s="16" t="s">
        <v>328</v>
      </c>
      <c r="D8" s="16">
        <v>1200</v>
      </c>
    </row>
    <row r="9" spans="1:8" x14ac:dyDescent="0.3">
      <c r="A9" s="15">
        <v>45907</v>
      </c>
      <c r="D9" s="18"/>
    </row>
    <row r="10" spans="1:8" x14ac:dyDescent="0.3">
      <c r="A10" s="16" t="s">
        <v>204</v>
      </c>
      <c r="B10" s="16">
        <v>15</v>
      </c>
      <c r="C10" s="16">
        <v>150</v>
      </c>
      <c r="D10" s="16">
        <v>2250</v>
      </c>
    </row>
    <row r="11" spans="1:8" x14ac:dyDescent="0.3">
      <c r="A11" s="15">
        <v>45914</v>
      </c>
    </row>
    <row r="12" spans="1:8" s="19" customFormat="1" x14ac:dyDescent="0.3">
      <c r="A12" s="20" t="s">
        <v>366</v>
      </c>
      <c r="B12" s="19">
        <v>15</v>
      </c>
      <c r="C12" s="19">
        <v>600</v>
      </c>
      <c r="D12" s="19">
        <v>9000</v>
      </c>
    </row>
    <row r="13" spans="1:8" s="19" customFormat="1" x14ac:dyDescent="0.3">
      <c r="A13" s="20" t="s">
        <v>367</v>
      </c>
      <c r="B13" s="19">
        <v>2</v>
      </c>
      <c r="C13" s="19">
        <v>500</v>
      </c>
      <c r="D13" s="19">
        <v>1000</v>
      </c>
    </row>
    <row r="14" spans="1:8" s="19" customFormat="1" x14ac:dyDescent="0.3">
      <c r="A14" s="20" t="s">
        <v>368</v>
      </c>
      <c r="B14" s="19">
        <v>1</v>
      </c>
      <c r="C14" s="19">
        <v>500</v>
      </c>
      <c r="D14" s="19">
        <v>500</v>
      </c>
    </row>
    <row r="15" spans="1:8" s="19" customFormat="1" x14ac:dyDescent="0.3">
      <c r="A15" s="20" t="s">
        <v>369</v>
      </c>
      <c r="B15" s="19">
        <v>57</v>
      </c>
      <c r="C15" s="19">
        <v>175</v>
      </c>
      <c r="D15" s="19">
        <v>9975</v>
      </c>
    </row>
    <row r="16" spans="1:8" s="19" customFormat="1" x14ac:dyDescent="0.3">
      <c r="A16" s="20" t="s">
        <v>370</v>
      </c>
      <c r="B16" s="19">
        <v>12</v>
      </c>
      <c r="C16" s="19">
        <v>300</v>
      </c>
      <c r="D16" s="19">
        <v>3600</v>
      </c>
    </row>
    <row r="17" spans="1:4" s="19" customFormat="1" x14ac:dyDescent="0.3">
      <c r="A17" s="20" t="s">
        <v>371</v>
      </c>
      <c r="B17" s="19">
        <v>12</v>
      </c>
      <c r="C17" s="19">
        <v>500</v>
      </c>
      <c r="D17" s="19">
        <v>6000</v>
      </c>
    </row>
    <row r="18" spans="1:4" x14ac:dyDescent="0.3">
      <c r="A18" s="16" t="s">
        <v>305</v>
      </c>
      <c r="B18" s="16">
        <v>23</v>
      </c>
      <c r="C18" s="16">
        <v>150</v>
      </c>
      <c r="D18" s="16">
        <v>3450</v>
      </c>
    </row>
    <row r="19" spans="1:4" x14ac:dyDescent="0.3">
      <c r="A19" s="16" t="s">
        <v>372</v>
      </c>
      <c r="B19" s="16">
        <v>8</v>
      </c>
      <c r="C19" s="16">
        <v>400</v>
      </c>
      <c r="D19" s="16">
        <v>3200</v>
      </c>
    </row>
    <row r="20" spans="1:4" x14ac:dyDescent="0.3">
      <c r="A20" s="16" t="s">
        <v>373</v>
      </c>
      <c r="B20" s="16">
        <v>1</v>
      </c>
      <c r="C20" s="16">
        <v>700</v>
      </c>
      <c r="D20" s="16">
        <v>700</v>
      </c>
    </row>
    <row r="21" spans="1:4" x14ac:dyDescent="0.3">
      <c r="A21" s="16" t="s">
        <v>374</v>
      </c>
      <c r="B21" s="16">
        <v>50</v>
      </c>
      <c r="C21" s="16">
        <v>125</v>
      </c>
      <c r="D21" s="16">
        <v>6250</v>
      </c>
    </row>
    <row r="22" spans="1:4" x14ac:dyDescent="0.3">
      <c r="A22" s="16" t="s">
        <v>285</v>
      </c>
      <c r="B22" s="16">
        <v>10</v>
      </c>
      <c r="D22" s="16">
        <v>6000</v>
      </c>
    </row>
    <row r="23" spans="1:4" x14ac:dyDescent="0.3">
      <c r="A23" s="16" t="s">
        <v>247</v>
      </c>
      <c r="B23" s="16">
        <v>3</v>
      </c>
      <c r="D23" s="16">
        <v>7500</v>
      </c>
    </row>
    <row r="24" spans="1:4" x14ac:dyDescent="0.3">
      <c r="A24" s="16" t="s">
        <v>375</v>
      </c>
      <c r="D24" s="16">
        <v>4500</v>
      </c>
    </row>
    <row r="25" spans="1:4" x14ac:dyDescent="0.3">
      <c r="D25" s="16">
        <f>SUM(D12:D24)</f>
        <v>61675</v>
      </c>
    </row>
    <row r="27" spans="1:4" x14ac:dyDescent="0.3">
      <c r="A27" s="15">
        <v>45910</v>
      </c>
    </row>
    <row r="28" spans="1:4" x14ac:dyDescent="0.3">
      <c r="A28" s="16" t="s">
        <v>363</v>
      </c>
      <c r="B28" s="16">
        <v>130</v>
      </c>
      <c r="C28" s="16">
        <v>150</v>
      </c>
      <c r="D28" s="18">
        <v>19500</v>
      </c>
    </row>
    <row r="29" spans="1:4" x14ac:dyDescent="0.3">
      <c r="A29" s="16" t="s">
        <v>364</v>
      </c>
      <c r="B29" s="16">
        <v>4</v>
      </c>
      <c r="C29" s="16">
        <v>650</v>
      </c>
      <c r="D29" s="16">
        <v>2600</v>
      </c>
    </row>
    <row r="30" spans="1:4" x14ac:dyDescent="0.3">
      <c r="A30" s="16" t="s">
        <v>365</v>
      </c>
      <c r="B30" s="16">
        <v>1</v>
      </c>
      <c r="C30" s="16">
        <v>250</v>
      </c>
      <c r="D30" s="16">
        <v>250</v>
      </c>
    </row>
    <row r="31" spans="1:4" x14ac:dyDescent="0.3">
      <c r="A31" s="16" t="s">
        <v>362</v>
      </c>
      <c r="D31" s="18">
        <f>SUM(D28:D30)</f>
        <v>22350</v>
      </c>
    </row>
    <row r="35" spans="1:8" x14ac:dyDescent="0.3">
      <c r="A35" s="15">
        <v>45926</v>
      </c>
    </row>
    <row r="36" spans="1:8" x14ac:dyDescent="0.3">
      <c r="A36" s="16" t="s">
        <v>210</v>
      </c>
      <c r="B36" s="16">
        <v>350</v>
      </c>
      <c r="C36" s="16">
        <v>175</v>
      </c>
      <c r="D36" s="18">
        <v>61250</v>
      </c>
    </row>
    <row r="38" spans="1:8" x14ac:dyDescent="0.3">
      <c r="A38" s="15">
        <v>45926</v>
      </c>
    </row>
    <row r="39" spans="1:8" x14ac:dyDescent="0.3">
      <c r="A39" s="16" t="s">
        <v>376</v>
      </c>
      <c r="B39" s="16">
        <v>70</v>
      </c>
      <c r="C39" s="16">
        <v>175</v>
      </c>
      <c r="D39" s="16">
        <v>12250</v>
      </c>
    </row>
    <row r="40" spans="1:8" s="19" customFormat="1" x14ac:dyDescent="0.3">
      <c r="A40" s="16" t="s">
        <v>302</v>
      </c>
      <c r="B40" s="16">
        <v>340</v>
      </c>
      <c r="C40" s="16">
        <v>150</v>
      </c>
      <c r="D40" s="18">
        <v>51000</v>
      </c>
      <c r="E40" s="16"/>
      <c r="F40" s="16"/>
      <c r="G40" s="16"/>
      <c r="H40" s="16"/>
    </row>
    <row r="41" spans="1:8" s="19" customFormat="1" x14ac:dyDescent="0.3">
      <c r="A41" s="16" t="s">
        <v>259</v>
      </c>
      <c r="B41" s="16">
        <v>400</v>
      </c>
      <c r="C41" s="16">
        <v>25</v>
      </c>
      <c r="D41" s="18">
        <v>10000</v>
      </c>
      <c r="E41" s="16"/>
      <c r="F41" s="16"/>
      <c r="G41" s="16"/>
      <c r="H41" s="16"/>
    </row>
    <row r="42" spans="1:8" s="19" customFormat="1" x14ac:dyDescent="0.3">
      <c r="A42" s="15">
        <v>45926</v>
      </c>
      <c r="B42" s="16"/>
      <c r="C42" s="16"/>
      <c r="D42" s="18"/>
      <c r="E42" s="16"/>
      <c r="F42" s="16"/>
      <c r="G42" s="16"/>
      <c r="H42" s="16"/>
    </row>
    <row r="43" spans="1:8" s="19" customFormat="1" x14ac:dyDescent="0.3">
      <c r="A43" s="16" t="s">
        <v>258</v>
      </c>
      <c r="B43" s="16">
        <v>204</v>
      </c>
      <c r="C43" s="16">
        <v>30</v>
      </c>
      <c r="D43" s="16">
        <v>6120</v>
      </c>
      <c r="E43" s="16"/>
      <c r="F43" s="16"/>
      <c r="G43" s="16"/>
      <c r="H43" s="16"/>
    </row>
    <row r="44" spans="1:8" x14ac:dyDescent="0.3">
      <c r="A44" s="15">
        <v>45926</v>
      </c>
    </row>
    <row r="45" spans="1:8" x14ac:dyDescent="0.3">
      <c r="A45" s="16" t="s">
        <v>302</v>
      </c>
      <c r="B45" s="16">
        <v>360</v>
      </c>
      <c r="C45" s="16">
        <v>150</v>
      </c>
      <c r="D45" s="16">
        <v>54000</v>
      </c>
    </row>
    <row r="46" spans="1:8" x14ac:dyDescent="0.3">
      <c r="A46" s="16" t="s">
        <v>376</v>
      </c>
      <c r="B46" s="16">
        <v>70</v>
      </c>
      <c r="C46" s="16">
        <v>175</v>
      </c>
      <c r="D46" s="16">
        <v>12250</v>
      </c>
    </row>
    <row r="47" spans="1:8" x14ac:dyDescent="0.3">
      <c r="A47" s="16" t="s">
        <v>378</v>
      </c>
      <c r="B47" s="16">
        <v>2</v>
      </c>
      <c r="C47" s="16">
        <v>300</v>
      </c>
      <c r="D47" s="16">
        <v>600</v>
      </c>
    </row>
    <row r="48" spans="1:8" x14ac:dyDescent="0.3">
      <c r="A48" s="16" t="s">
        <v>379</v>
      </c>
      <c r="B48" s="16">
        <v>2</v>
      </c>
      <c r="C48" s="16">
        <v>300</v>
      </c>
      <c r="D48" s="16">
        <v>600</v>
      </c>
    </row>
    <row r="49" spans="1:4" x14ac:dyDescent="0.3">
      <c r="A49" s="16" t="s">
        <v>380</v>
      </c>
      <c r="B49" s="16">
        <v>300</v>
      </c>
      <c r="C49" s="16">
        <v>25</v>
      </c>
      <c r="D49" s="19">
        <v>7500</v>
      </c>
    </row>
    <row r="50" spans="1:4" x14ac:dyDescent="0.3">
      <c r="A50" s="16" t="s">
        <v>381</v>
      </c>
      <c r="B50" s="16">
        <v>6</v>
      </c>
      <c r="C50" s="16">
        <v>600</v>
      </c>
      <c r="D50" s="16">
        <v>3600</v>
      </c>
    </row>
    <row r="51" spans="1:4" x14ac:dyDescent="0.3">
      <c r="A51" s="20" t="s">
        <v>382</v>
      </c>
      <c r="B51" s="16">
        <v>8</v>
      </c>
      <c r="D51" s="16">
        <v>0</v>
      </c>
    </row>
    <row r="52" spans="1:4" x14ac:dyDescent="0.3">
      <c r="A52" s="16" t="s">
        <v>383</v>
      </c>
      <c r="B52" s="16">
        <v>1</v>
      </c>
      <c r="D52" s="16">
        <v>0</v>
      </c>
    </row>
    <row r="53" spans="1:4" x14ac:dyDescent="0.3">
      <c r="A53" s="16" t="s">
        <v>384</v>
      </c>
      <c r="B53" s="16">
        <v>1</v>
      </c>
      <c r="C53" s="16">
        <v>700</v>
      </c>
      <c r="D53" s="16">
        <v>700</v>
      </c>
    </row>
    <row r="54" spans="1:4" x14ac:dyDescent="0.3">
      <c r="A54" s="20" t="s">
        <v>377</v>
      </c>
      <c r="D54" s="18">
        <v>50000</v>
      </c>
    </row>
    <row r="55" spans="1:4" x14ac:dyDescent="0.3">
      <c r="A55" s="16" t="s">
        <v>385</v>
      </c>
      <c r="D55" s="18">
        <v>10600</v>
      </c>
    </row>
    <row r="56" spans="1:4" x14ac:dyDescent="0.3">
      <c r="A56" s="16" t="s">
        <v>386</v>
      </c>
      <c r="D56" s="18">
        <v>10000</v>
      </c>
    </row>
    <row r="57" spans="1:4" x14ac:dyDescent="0.3">
      <c r="A57" s="16" t="s">
        <v>284</v>
      </c>
      <c r="D57" s="16">
        <v>3200</v>
      </c>
    </row>
    <row r="58" spans="1:4" x14ac:dyDescent="0.3">
      <c r="A58" s="16" t="s">
        <v>293</v>
      </c>
      <c r="D58" s="16">
        <v>3000</v>
      </c>
    </row>
    <row r="59" spans="1:4" x14ac:dyDescent="0.3">
      <c r="D59" s="16">
        <f>SUM(D45:D58)</f>
        <v>156050</v>
      </c>
    </row>
    <row r="61" spans="1:4" x14ac:dyDescent="0.3">
      <c r="A61" s="15">
        <v>45928</v>
      </c>
      <c r="D61" s="18"/>
    </row>
    <row r="62" spans="1:4" x14ac:dyDescent="0.3">
      <c r="A62" s="16" t="s">
        <v>389</v>
      </c>
      <c r="B62" s="16">
        <v>300</v>
      </c>
      <c r="C62" s="16">
        <v>25</v>
      </c>
      <c r="D62" s="16">
        <v>7500</v>
      </c>
    </row>
    <row r="63" spans="1:4" x14ac:dyDescent="0.3">
      <c r="A63" s="16" t="s">
        <v>388</v>
      </c>
      <c r="B63" s="16">
        <v>10</v>
      </c>
      <c r="C63" s="16">
        <v>600</v>
      </c>
      <c r="D63" s="16">
        <v>6000</v>
      </c>
    </row>
    <row r="64" spans="1:4" x14ac:dyDescent="0.3">
      <c r="A64" s="16" t="s">
        <v>387</v>
      </c>
      <c r="B64" s="16">
        <v>260</v>
      </c>
      <c r="C64" s="16">
        <v>40</v>
      </c>
      <c r="D64" s="16">
        <v>10400</v>
      </c>
    </row>
    <row r="65" spans="1:4" x14ac:dyDescent="0.3">
      <c r="D65" s="16">
        <f>SUM(D62:D64)</f>
        <v>23900</v>
      </c>
    </row>
    <row r="69" spans="1:4" x14ac:dyDescent="0.3">
      <c r="A69" s="15"/>
    </row>
    <row r="71" spans="1:4" x14ac:dyDescent="0.3">
      <c r="A71" s="20"/>
    </row>
    <row r="80" spans="1:4" x14ac:dyDescent="0.3">
      <c r="A80" s="15"/>
    </row>
  </sheetData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topLeftCell="A40" workbookViewId="0">
      <selection activeCell="D55" sqref="D55:D61"/>
    </sheetView>
  </sheetViews>
  <sheetFormatPr defaultColWidth="8.88671875" defaultRowHeight="14.4" x14ac:dyDescent="0.3"/>
  <cols>
    <col min="1" max="1" width="40.88671875" style="16" bestFit="1" customWidth="1"/>
    <col min="2" max="2" width="12.77734375" style="16" customWidth="1"/>
    <col min="3" max="3" width="14.6640625" style="16" customWidth="1"/>
    <col min="4" max="4" width="23.88671875" style="16" customWidth="1"/>
    <col min="5" max="5" width="18.6640625" style="16" customWidth="1"/>
    <col min="6" max="16384" width="8.88671875" style="16"/>
  </cols>
  <sheetData>
    <row r="1" spans="1:8" s="21" customFormat="1" ht="23.25" customHeight="1" x14ac:dyDescent="0.3">
      <c r="A1" s="9" t="s">
        <v>43</v>
      </c>
      <c r="B1" s="21" t="s">
        <v>1</v>
      </c>
      <c r="C1" s="21" t="s">
        <v>42</v>
      </c>
      <c r="D1" s="21" t="s">
        <v>3</v>
      </c>
    </row>
    <row r="2" spans="1:8" s="21" customFormat="1" ht="16.2" customHeight="1" x14ac:dyDescent="0.3">
      <c r="A2" s="12">
        <v>45939</v>
      </c>
      <c r="C2" s="16"/>
      <c r="D2" s="16"/>
      <c r="E2" s="16"/>
      <c r="F2" s="16"/>
      <c r="G2" s="16"/>
      <c r="H2" s="16"/>
    </row>
    <row r="3" spans="1:8" x14ac:dyDescent="0.3">
      <c r="A3" s="20" t="s">
        <v>396</v>
      </c>
      <c r="B3" s="16">
        <v>4</v>
      </c>
      <c r="C3" s="16">
        <v>500</v>
      </c>
      <c r="D3" s="18">
        <v>4000</v>
      </c>
    </row>
    <row r="4" spans="1:8" x14ac:dyDescent="0.3">
      <c r="A4" s="16" t="s">
        <v>395</v>
      </c>
      <c r="B4" s="16">
        <v>4</v>
      </c>
      <c r="C4" s="16">
        <v>300</v>
      </c>
      <c r="D4" s="18">
        <v>2400</v>
      </c>
    </row>
    <row r="5" spans="1:8" x14ac:dyDescent="0.3">
      <c r="A5" s="16" t="s">
        <v>394</v>
      </c>
      <c r="B5" s="16">
        <v>4</v>
      </c>
      <c r="C5" s="16">
        <v>300</v>
      </c>
      <c r="D5" s="16">
        <v>2400</v>
      </c>
    </row>
    <row r="6" spans="1:8" x14ac:dyDescent="0.3">
      <c r="A6" s="20" t="s">
        <v>313</v>
      </c>
      <c r="B6" s="16">
        <v>7</v>
      </c>
      <c r="C6" s="16">
        <v>400</v>
      </c>
      <c r="D6" s="18">
        <v>5600</v>
      </c>
    </row>
    <row r="7" spans="1:8" x14ac:dyDescent="0.3">
      <c r="A7" s="16" t="s">
        <v>393</v>
      </c>
      <c r="B7" s="16">
        <v>5</v>
      </c>
      <c r="C7" s="16">
        <v>300</v>
      </c>
      <c r="D7" s="16">
        <v>3000</v>
      </c>
    </row>
    <row r="8" spans="1:8" x14ac:dyDescent="0.3">
      <c r="A8" s="16" t="s">
        <v>259</v>
      </c>
      <c r="B8" s="16">
        <v>130</v>
      </c>
      <c r="C8" s="16">
        <v>25</v>
      </c>
      <c r="D8" s="16">
        <v>6500</v>
      </c>
    </row>
    <row r="9" spans="1:8" x14ac:dyDescent="0.3">
      <c r="D9" s="18">
        <f>SUM(D3:D8)</f>
        <v>23900</v>
      </c>
    </row>
    <row r="10" spans="1:8" x14ac:dyDescent="0.3">
      <c r="A10" s="33">
        <v>45946</v>
      </c>
    </row>
    <row r="11" spans="1:8" x14ac:dyDescent="0.3">
      <c r="A11" s="20" t="s">
        <v>397</v>
      </c>
      <c r="B11" s="16">
        <v>10</v>
      </c>
      <c r="C11" s="16">
        <v>175</v>
      </c>
      <c r="D11" s="16">
        <v>1750</v>
      </c>
    </row>
    <row r="12" spans="1:8" s="19" customFormat="1" x14ac:dyDescent="0.3">
      <c r="A12" s="20" t="s">
        <v>398</v>
      </c>
      <c r="B12" s="19">
        <v>4</v>
      </c>
      <c r="C12" s="19">
        <v>150</v>
      </c>
      <c r="D12" s="19">
        <v>600</v>
      </c>
    </row>
    <row r="13" spans="1:8" s="19" customFormat="1" x14ac:dyDescent="0.3">
      <c r="A13" s="20" t="s">
        <v>399</v>
      </c>
      <c r="B13" s="19">
        <v>20</v>
      </c>
      <c r="C13" s="19">
        <v>175</v>
      </c>
      <c r="D13" s="19">
        <v>3500</v>
      </c>
    </row>
    <row r="14" spans="1:8" s="19" customFormat="1" x14ac:dyDescent="0.3">
      <c r="A14" s="20" t="s">
        <v>400</v>
      </c>
      <c r="B14" s="19">
        <v>2</v>
      </c>
      <c r="C14" s="19">
        <v>300</v>
      </c>
      <c r="D14" s="19">
        <v>600</v>
      </c>
    </row>
    <row r="15" spans="1:8" s="19" customFormat="1" x14ac:dyDescent="0.3">
      <c r="A15" s="20" t="s">
        <v>240</v>
      </c>
      <c r="B15" s="19">
        <v>2</v>
      </c>
      <c r="D15" s="19">
        <v>1500</v>
      </c>
    </row>
    <row r="16" spans="1:8" s="19" customFormat="1" x14ac:dyDescent="0.3">
      <c r="A16" s="20" t="s">
        <v>247</v>
      </c>
      <c r="B16" s="19">
        <v>2</v>
      </c>
      <c r="D16" s="19">
        <v>2500</v>
      </c>
    </row>
    <row r="17" spans="1:4" s="19" customFormat="1" x14ac:dyDescent="0.3">
      <c r="A17" s="33">
        <v>45948</v>
      </c>
    </row>
    <row r="18" spans="1:4" s="19" customFormat="1" x14ac:dyDescent="0.3">
      <c r="A18" s="20" t="s">
        <v>401</v>
      </c>
      <c r="B18" s="19">
        <v>12</v>
      </c>
      <c r="C18" s="19">
        <v>600</v>
      </c>
      <c r="D18" s="19">
        <v>7200</v>
      </c>
    </row>
    <row r="19" spans="1:4" x14ac:dyDescent="0.3">
      <c r="A19" s="16" t="s">
        <v>402</v>
      </c>
      <c r="B19" s="16">
        <v>6</v>
      </c>
      <c r="C19" s="16">
        <v>500</v>
      </c>
      <c r="D19" s="16">
        <v>3000</v>
      </c>
    </row>
    <row r="20" spans="1:4" x14ac:dyDescent="0.3">
      <c r="A20" s="16" t="s">
        <v>240</v>
      </c>
      <c r="B20" s="16">
        <v>2</v>
      </c>
      <c r="D20" s="16">
        <v>1200</v>
      </c>
    </row>
    <row r="21" spans="1:4" x14ac:dyDescent="0.3">
      <c r="A21" s="16" t="s">
        <v>247</v>
      </c>
      <c r="B21" s="16">
        <v>2</v>
      </c>
      <c r="D21" s="16">
        <v>2500</v>
      </c>
    </row>
    <row r="22" spans="1:4" x14ac:dyDescent="0.3">
      <c r="A22" s="33">
        <v>45948</v>
      </c>
    </row>
    <row r="23" spans="1:4" x14ac:dyDescent="0.3">
      <c r="A23" s="16" t="s">
        <v>366</v>
      </c>
      <c r="B23" s="16">
        <v>13</v>
      </c>
      <c r="C23" s="16">
        <v>600</v>
      </c>
      <c r="D23" s="16">
        <v>7800</v>
      </c>
    </row>
    <row r="24" spans="1:4" x14ac:dyDescent="0.3">
      <c r="A24" s="16" t="s">
        <v>371</v>
      </c>
      <c r="B24" s="16">
        <v>6</v>
      </c>
      <c r="C24" s="16">
        <v>500</v>
      </c>
      <c r="D24" s="16">
        <v>3000</v>
      </c>
    </row>
    <row r="25" spans="1:4" x14ac:dyDescent="0.3">
      <c r="A25" s="16" t="s">
        <v>337</v>
      </c>
      <c r="B25" s="16">
        <v>14</v>
      </c>
      <c r="C25" s="16">
        <v>300</v>
      </c>
      <c r="D25" s="16">
        <v>4200</v>
      </c>
    </row>
    <row r="26" spans="1:4" x14ac:dyDescent="0.3">
      <c r="A26" s="16" t="s">
        <v>404</v>
      </c>
      <c r="B26" s="16">
        <v>12</v>
      </c>
      <c r="C26" s="16">
        <v>650</v>
      </c>
      <c r="D26" s="16">
        <v>7800</v>
      </c>
    </row>
    <row r="27" spans="1:4" x14ac:dyDescent="0.3">
      <c r="A27" s="16" t="s">
        <v>372</v>
      </c>
      <c r="B27" s="16">
        <v>14</v>
      </c>
      <c r="C27" s="16">
        <v>400</v>
      </c>
      <c r="D27" s="16">
        <v>5600</v>
      </c>
    </row>
    <row r="28" spans="1:4" x14ac:dyDescent="0.3">
      <c r="A28" s="16" t="s">
        <v>240</v>
      </c>
      <c r="B28" s="16">
        <v>6</v>
      </c>
      <c r="D28" s="16">
        <v>4800</v>
      </c>
    </row>
    <row r="29" spans="1:4" x14ac:dyDescent="0.3">
      <c r="A29" s="16" t="s">
        <v>403</v>
      </c>
      <c r="D29" s="16">
        <v>10000</v>
      </c>
    </row>
    <row r="30" spans="1:4" x14ac:dyDescent="0.3">
      <c r="A30" s="33">
        <v>45948</v>
      </c>
    </row>
    <row r="31" spans="1:4" x14ac:dyDescent="0.3">
      <c r="A31" s="16" t="s">
        <v>404</v>
      </c>
      <c r="B31" s="16">
        <v>15</v>
      </c>
      <c r="C31" s="16">
        <v>650</v>
      </c>
      <c r="D31" s="18">
        <v>9750</v>
      </c>
    </row>
    <row r="32" spans="1:4" x14ac:dyDescent="0.3">
      <c r="A32" s="16" t="s">
        <v>417</v>
      </c>
      <c r="B32" s="16">
        <v>200</v>
      </c>
      <c r="C32" s="16">
        <v>175</v>
      </c>
      <c r="D32" s="16">
        <v>35000</v>
      </c>
    </row>
    <row r="33" spans="1:8" x14ac:dyDescent="0.3">
      <c r="A33" s="16" t="s">
        <v>416</v>
      </c>
      <c r="B33" s="16">
        <v>200</v>
      </c>
      <c r="C33" s="16">
        <v>175</v>
      </c>
      <c r="D33" s="16">
        <v>35000</v>
      </c>
    </row>
    <row r="34" spans="1:8" x14ac:dyDescent="0.3">
      <c r="A34" s="16" t="s">
        <v>415</v>
      </c>
      <c r="B34" s="16">
        <v>200</v>
      </c>
      <c r="C34" s="16">
        <v>125</v>
      </c>
      <c r="D34" s="16">
        <v>35000</v>
      </c>
    </row>
    <row r="35" spans="1:8" x14ac:dyDescent="0.3">
      <c r="A35" s="16" t="s">
        <v>414</v>
      </c>
      <c r="B35" s="16">
        <v>250</v>
      </c>
      <c r="C35" s="16">
        <v>50</v>
      </c>
      <c r="D35" s="18">
        <v>12500</v>
      </c>
    </row>
    <row r="36" spans="1:8" x14ac:dyDescent="0.3">
      <c r="A36" s="16" t="s">
        <v>419</v>
      </c>
      <c r="B36" s="16">
        <v>350</v>
      </c>
      <c r="C36" s="16">
        <v>30</v>
      </c>
      <c r="D36" s="18">
        <v>10500</v>
      </c>
    </row>
    <row r="37" spans="1:8" x14ac:dyDescent="0.3">
      <c r="A37" s="16" t="s">
        <v>420</v>
      </c>
      <c r="B37" s="16">
        <v>640</v>
      </c>
      <c r="C37" s="16">
        <v>25</v>
      </c>
      <c r="D37" s="18">
        <v>16000</v>
      </c>
    </row>
    <row r="38" spans="1:8" x14ac:dyDescent="0.3">
      <c r="A38" s="16" t="s">
        <v>277</v>
      </c>
      <c r="B38" s="16">
        <v>550</v>
      </c>
      <c r="C38" s="16">
        <v>150</v>
      </c>
      <c r="D38" s="18">
        <v>82500</v>
      </c>
    </row>
    <row r="39" spans="1:8" x14ac:dyDescent="0.3">
      <c r="A39" s="16" t="s">
        <v>413</v>
      </c>
      <c r="B39" s="16">
        <v>2500</v>
      </c>
      <c r="C39" s="16">
        <v>7.5</v>
      </c>
      <c r="D39" s="16">
        <v>18750</v>
      </c>
    </row>
    <row r="40" spans="1:8" x14ac:dyDescent="0.3">
      <c r="A40" s="20" t="s">
        <v>412</v>
      </c>
      <c r="B40" s="16">
        <v>2500</v>
      </c>
      <c r="C40" s="16">
        <v>7.5</v>
      </c>
      <c r="D40" s="16">
        <v>18750</v>
      </c>
    </row>
    <row r="41" spans="1:8" x14ac:dyDescent="0.3">
      <c r="A41" s="16" t="s">
        <v>411</v>
      </c>
      <c r="B41" s="16">
        <v>2500</v>
      </c>
      <c r="C41" s="16">
        <v>7.5</v>
      </c>
      <c r="D41" s="16">
        <v>18750</v>
      </c>
    </row>
    <row r="42" spans="1:8" x14ac:dyDescent="0.3">
      <c r="A42" s="16" t="s">
        <v>410</v>
      </c>
      <c r="B42" s="16">
        <v>2500</v>
      </c>
      <c r="C42" s="16">
        <v>7.5</v>
      </c>
      <c r="D42" s="16">
        <v>18750</v>
      </c>
    </row>
    <row r="43" spans="1:8" x14ac:dyDescent="0.3">
      <c r="A43" s="20" t="s">
        <v>409</v>
      </c>
      <c r="B43" s="16">
        <v>2500</v>
      </c>
      <c r="C43" s="16">
        <v>7.5</v>
      </c>
      <c r="D43" s="16">
        <v>18750</v>
      </c>
    </row>
    <row r="44" spans="1:8" x14ac:dyDescent="0.3">
      <c r="A44" s="16" t="s">
        <v>408</v>
      </c>
      <c r="B44" s="16">
        <v>2500</v>
      </c>
      <c r="C44" s="16">
        <v>7.5</v>
      </c>
      <c r="D44" s="16">
        <v>18750</v>
      </c>
    </row>
    <row r="45" spans="1:8" s="19" customFormat="1" x14ac:dyDescent="0.3">
      <c r="A45" s="16" t="s">
        <v>407</v>
      </c>
      <c r="B45" s="16">
        <v>2500</v>
      </c>
      <c r="C45" s="16">
        <v>7.5</v>
      </c>
      <c r="D45" s="16">
        <v>18750</v>
      </c>
      <c r="E45" s="16"/>
      <c r="F45" s="16"/>
      <c r="G45" s="16"/>
      <c r="H45" s="16"/>
    </row>
    <row r="46" spans="1:8" s="19" customFormat="1" x14ac:dyDescent="0.3">
      <c r="A46" s="16" t="s">
        <v>406</v>
      </c>
      <c r="B46" s="16">
        <v>2500</v>
      </c>
      <c r="C46" s="16">
        <v>7.5</v>
      </c>
      <c r="D46" s="16">
        <v>18750</v>
      </c>
      <c r="E46" s="16"/>
      <c r="F46" s="16"/>
      <c r="G46" s="16"/>
      <c r="H46" s="16"/>
    </row>
    <row r="47" spans="1:8" s="19" customFormat="1" x14ac:dyDescent="0.3">
      <c r="A47" s="16" t="s">
        <v>247</v>
      </c>
      <c r="B47" s="16">
        <v>30</v>
      </c>
      <c r="C47" s="16"/>
      <c r="D47" s="16">
        <v>37500</v>
      </c>
      <c r="E47" s="16"/>
      <c r="F47" s="16"/>
      <c r="G47" s="16"/>
      <c r="H47" s="16"/>
    </row>
    <row r="48" spans="1:8" s="19" customFormat="1" x14ac:dyDescent="0.3">
      <c r="A48" s="16" t="s">
        <v>240</v>
      </c>
      <c r="B48" s="16">
        <v>40</v>
      </c>
      <c r="C48" s="16"/>
      <c r="D48" s="18">
        <v>40000</v>
      </c>
      <c r="E48" s="16"/>
      <c r="F48" s="16"/>
      <c r="G48" s="16"/>
      <c r="H48" s="16"/>
    </row>
    <row r="49" spans="1:8" s="19" customFormat="1" x14ac:dyDescent="0.3">
      <c r="A49" s="33">
        <v>45948</v>
      </c>
      <c r="B49" s="16"/>
      <c r="C49" s="16"/>
      <c r="D49" s="18">
        <f>SUM(D31:D48)</f>
        <v>463750</v>
      </c>
      <c r="E49" s="16"/>
      <c r="F49" s="16"/>
      <c r="G49" s="16"/>
      <c r="H49" s="16"/>
    </row>
    <row r="50" spans="1:8" s="19" customFormat="1" x14ac:dyDescent="0.3">
      <c r="A50" s="16" t="s">
        <v>418</v>
      </c>
      <c r="B50" s="16">
        <v>13</v>
      </c>
      <c r="C50" s="16"/>
      <c r="D50" s="16"/>
      <c r="E50" s="16"/>
      <c r="F50" s="16"/>
      <c r="G50" s="16"/>
      <c r="H50" s="16"/>
    </row>
    <row r="51" spans="1:8" x14ac:dyDescent="0.3">
      <c r="A51" s="20" t="s">
        <v>405</v>
      </c>
      <c r="C51" s="18">
        <v>70000</v>
      </c>
    </row>
    <row r="52" spans="1:8" x14ac:dyDescent="0.3">
      <c r="A52" s="33">
        <v>45950</v>
      </c>
    </row>
    <row r="53" spans="1:8" x14ac:dyDescent="0.3">
      <c r="A53" s="16" t="s">
        <v>239</v>
      </c>
      <c r="B53" s="16">
        <v>3</v>
      </c>
      <c r="C53" s="16">
        <v>650</v>
      </c>
      <c r="D53" s="16">
        <v>1950</v>
      </c>
    </row>
    <row r="54" spans="1:8" x14ac:dyDescent="0.3">
      <c r="A54" s="33">
        <v>45954</v>
      </c>
    </row>
    <row r="55" spans="1:8" x14ac:dyDescent="0.3">
      <c r="A55" s="16" t="s">
        <v>191</v>
      </c>
      <c r="B55" s="16">
        <v>350</v>
      </c>
      <c r="C55" s="16">
        <v>175</v>
      </c>
      <c r="D55" s="18">
        <v>61250</v>
      </c>
    </row>
    <row r="56" spans="1:8" x14ac:dyDescent="0.3">
      <c r="A56" s="16" t="s">
        <v>428</v>
      </c>
      <c r="B56" s="16">
        <v>6</v>
      </c>
      <c r="C56" s="16">
        <v>650</v>
      </c>
      <c r="D56" s="19">
        <v>2600</v>
      </c>
    </row>
    <row r="57" spans="1:8" x14ac:dyDescent="0.3">
      <c r="A57" s="16" t="s">
        <v>427</v>
      </c>
      <c r="B57" s="16">
        <v>4</v>
      </c>
      <c r="C57" s="16">
        <v>300</v>
      </c>
      <c r="D57" s="16">
        <v>1200</v>
      </c>
    </row>
    <row r="58" spans="1:8" x14ac:dyDescent="0.3">
      <c r="A58" s="20" t="s">
        <v>426</v>
      </c>
      <c r="B58" s="16">
        <v>2</v>
      </c>
      <c r="C58" s="16">
        <v>300</v>
      </c>
      <c r="D58" s="16">
        <v>600</v>
      </c>
    </row>
    <row r="59" spans="1:8" x14ac:dyDescent="0.3">
      <c r="A59" s="16" t="s">
        <v>316</v>
      </c>
      <c r="B59" s="16">
        <v>1</v>
      </c>
      <c r="C59" s="16">
        <v>700</v>
      </c>
      <c r="D59" s="16">
        <v>700</v>
      </c>
    </row>
    <row r="60" spans="1:8" x14ac:dyDescent="0.3">
      <c r="A60" s="16" t="s">
        <v>425</v>
      </c>
      <c r="B60" s="16">
        <v>100</v>
      </c>
      <c r="C60" s="16">
        <v>40</v>
      </c>
      <c r="D60" s="16">
        <v>4000</v>
      </c>
    </row>
    <row r="61" spans="1:8" x14ac:dyDescent="0.3">
      <c r="A61" s="20"/>
      <c r="D61" s="18">
        <f>SUM(D55:D60)</f>
        <v>70350</v>
      </c>
    </row>
    <row r="62" spans="1:8" x14ac:dyDescent="0.3">
      <c r="D62" s="18"/>
    </row>
    <row r="63" spans="1:8" x14ac:dyDescent="0.3">
      <c r="D63" s="18"/>
    </row>
    <row r="68" spans="1:4" x14ac:dyDescent="0.3">
      <c r="A68" s="15"/>
      <c r="D68" s="18"/>
    </row>
    <row r="76" spans="1:4" x14ac:dyDescent="0.3">
      <c r="A76" s="15"/>
    </row>
    <row r="78" spans="1:4" x14ac:dyDescent="0.3">
      <c r="A78" s="20"/>
    </row>
    <row r="87" spans="1:1" x14ac:dyDescent="0.3">
      <c r="A87" s="15"/>
    </row>
  </sheetData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6"/>
  <sheetViews>
    <sheetView tabSelected="1" topLeftCell="A173" zoomScale="74" workbookViewId="0">
      <selection activeCell="F191" sqref="F191"/>
    </sheetView>
  </sheetViews>
  <sheetFormatPr defaultColWidth="22.6640625" defaultRowHeight="20.25" customHeight="1" x14ac:dyDescent="0.3"/>
  <cols>
    <col min="1" max="1" width="21.109375" style="22" bestFit="1" customWidth="1"/>
    <col min="2" max="2" width="30.77734375" style="22" bestFit="1" customWidth="1"/>
    <col min="3" max="3" width="18" style="22" bestFit="1" customWidth="1"/>
    <col min="4" max="4" width="30.88671875" style="22" customWidth="1"/>
    <col min="5" max="5" width="32.109375" style="22" customWidth="1"/>
    <col min="6" max="6" width="75.109375" style="22" customWidth="1"/>
    <col min="7" max="16384" width="22.6640625" style="22"/>
  </cols>
  <sheetData>
    <row r="1" spans="1:6" ht="20.25" customHeight="1" x14ac:dyDescent="0.3">
      <c r="A1" s="22" t="s">
        <v>131</v>
      </c>
      <c r="B1" s="22" t="s">
        <v>14</v>
      </c>
      <c r="C1" s="22" t="s">
        <v>4</v>
      </c>
      <c r="D1" s="22" t="s">
        <v>5</v>
      </c>
      <c r="E1" s="22" t="s">
        <v>6</v>
      </c>
    </row>
    <row r="2" spans="1:6" ht="20.25" customHeight="1" x14ac:dyDescent="0.3">
      <c r="A2" s="23">
        <v>44897</v>
      </c>
      <c r="B2" s="23"/>
      <c r="C2" s="24">
        <v>20000</v>
      </c>
    </row>
    <row r="3" spans="1:6" ht="20.25" customHeight="1" x14ac:dyDescent="0.3">
      <c r="A3" s="23">
        <v>44898</v>
      </c>
      <c r="B3" s="23"/>
      <c r="C3" s="25">
        <v>20</v>
      </c>
      <c r="D3" s="25">
        <v>3</v>
      </c>
      <c r="E3" s="25">
        <v>17</v>
      </c>
    </row>
    <row r="4" spans="1:6" ht="20.25" customHeight="1" x14ac:dyDescent="0.3">
      <c r="A4" s="23">
        <v>44904</v>
      </c>
      <c r="B4" s="23"/>
      <c r="C4" s="24">
        <v>19700</v>
      </c>
      <c r="D4" s="25">
        <v>4.7</v>
      </c>
      <c r="E4" s="25">
        <v>15</v>
      </c>
    </row>
    <row r="5" spans="1:6" ht="20.25" customHeight="1" x14ac:dyDescent="0.3">
      <c r="A5" s="23">
        <v>44916</v>
      </c>
      <c r="B5" s="22">
        <v>70</v>
      </c>
      <c r="C5" s="25">
        <v>15.07</v>
      </c>
    </row>
    <row r="6" spans="1:6" ht="20.25" customHeight="1" x14ac:dyDescent="0.3">
      <c r="A6" s="23">
        <v>44928</v>
      </c>
      <c r="C6" s="25">
        <v>15.07</v>
      </c>
      <c r="D6" s="25">
        <v>5</v>
      </c>
      <c r="E6" s="25">
        <f>C:C-D:D</f>
        <v>10.07</v>
      </c>
    </row>
    <row r="7" spans="1:6" ht="20.25" customHeight="1" x14ac:dyDescent="0.3">
      <c r="A7" s="23">
        <v>44940</v>
      </c>
      <c r="B7" s="24">
        <v>3500</v>
      </c>
      <c r="C7" s="24" t="s">
        <v>22</v>
      </c>
      <c r="D7" s="25">
        <v>6.5</v>
      </c>
    </row>
    <row r="8" spans="1:6" ht="20.25" customHeight="1" x14ac:dyDescent="0.3">
      <c r="A8" s="23">
        <v>44947</v>
      </c>
      <c r="B8" s="24">
        <v>1850</v>
      </c>
      <c r="E8" s="24">
        <v>8850</v>
      </c>
    </row>
    <row r="9" spans="1:6" ht="20.25" customHeight="1" x14ac:dyDescent="0.3">
      <c r="A9" s="23">
        <v>45019</v>
      </c>
      <c r="D9" s="24">
        <v>5000</v>
      </c>
      <c r="E9" s="24">
        <v>3850</v>
      </c>
    </row>
    <row r="10" spans="1:6" ht="20.25" customHeight="1" x14ac:dyDescent="0.3">
      <c r="A10" s="23">
        <v>45045</v>
      </c>
      <c r="B10" s="22">
        <v>750</v>
      </c>
    </row>
    <row r="11" spans="1:6" ht="20.25" customHeight="1" x14ac:dyDescent="0.3">
      <c r="A11" s="23">
        <v>45046</v>
      </c>
      <c r="B11" s="24">
        <v>5380</v>
      </c>
    </row>
    <row r="12" spans="1:6" ht="20.25" customHeight="1" x14ac:dyDescent="0.3">
      <c r="A12" s="23">
        <v>45045</v>
      </c>
      <c r="B12" s="22">
        <v>750</v>
      </c>
    </row>
    <row r="13" spans="1:6" ht="20.25" customHeight="1" x14ac:dyDescent="0.3">
      <c r="A13" s="23">
        <v>45045</v>
      </c>
      <c r="B13" s="24">
        <v>1200</v>
      </c>
      <c r="F13" s="22" t="s">
        <v>29</v>
      </c>
    </row>
    <row r="14" spans="1:6" ht="20.25" customHeight="1" x14ac:dyDescent="0.3">
      <c r="A14" s="23">
        <v>45051</v>
      </c>
      <c r="B14" s="22">
        <v>600</v>
      </c>
      <c r="F14" s="22" t="s">
        <v>33</v>
      </c>
    </row>
    <row r="15" spans="1:6" ht="20.25" customHeight="1" x14ac:dyDescent="0.3">
      <c r="A15" s="23">
        <v>45055</v>
      </c>
      <c r="C15" s="24">
        <v>2530</v>
      </c>
    </row>
    <row r="16" spans="1:6" ht="20.25" customHeight="1" x14ac:dyDescent="0.3">
      <c r="A16" s="23">
        <v>45066</v>
      </c>
      <c r="B16" s="24">
        <v>21490</v>
      </c>
      <c r="E16" s="24">
        <v>24020</v>
      </c>
    </row>
    <row r="17" spans="1:6" ht="20.25" customHeight="1" x14ac:dyDescent="0.3">
      <c r="A17" s="23">
        <v>45071</v>
      </c>
      <c r="B17" s="24"/>
      <c r="D17" s="24">
        <v>15000</v>
      </c>
      <c r="E17" s="24">
        <v>9020</v>
      </c>
    </row>
    <row r="18" spans="1:6" ht="20.25" customHeight="1" x14ac:dyDescent="0.3">
      <c r="A18" s="23">
        <v>45086</v>
      </c>
      <c r="B18" s="24">
        <v>6600</v>
      </c>
      <c r="E18" s="24">
        <v>15620</v>
      </c>
    </row>
    <row r="19" spans="1:6" ht="20.25" customHeight="1" x14ac:dyDescent="0.3">
      <c r="A19" s="23">
        <v>45087</v>
      </c>
      <c r="B19" s="24">
        <v>6550</v>
      </c>
      <c r="E19" s="24">
        <v>22170</v>
      </c>
    </row>
    <row r="20" spans="1:6" ht="20.25" customHeight="1" x14ac:dyDescent="0.3">
      <c r="A20" s="23">
        <v>45087</v>
      </c>
      <c r="B20" s="24">
        <v>13730</v>
      </c>
      <c r="E20" s="24">
        <v>35900</v>
      </c>
    </row>
    <row r="21" spans="1:6" ht="20.25" customHeight="1" x14ac:dyDescent="0.3">
      <c r="A21" s="23">
        <v>45089</v>
      </c>
      <c r="B21" s="22" t="s">
        <v>66</v>
      </c>
      <c r="E21" s="24">
        <v>36300</v>
      </c>
    </row>
    <row r="22" spans="1:6" ht="20.25" customHeight="1" x14ac:dyDescent="0.3">
      <c r="A22" s="23">
        <v>45091</v>
      </c>
      <c r="B22" s="24">
        <v>3700</v>
      </c>
      <c r="E22" s="24">
        <v>40000</v>
      </c>
    </row>
    <row r="23" spans="1:6" ht="20.25" customHeight="1" x14ac:dyDescent="0.3">
      <c r="A23" s="23">
        <v>45091</v>
      </c>
      <c r="B23" s="24">
        <v>1000</v>
      </c>
      <c r="E23" s="24">
        <v>41000</v>
      </c>
    </row>
    <row r="24" spans="1:6" ht="20.25" customHeight="1" x14ac:dyDescent="0.3">
      <c r="A24" s="23">
        <v>45093</v>
      </c>
      <c r="B24" s="24"/>
      <c r="C24" s="24"/>
      <c r="D24" s="24">
        <v>10000</v>
      </c>
      <c r="E24" s="24">
        <v>31000</v>
      </c>
    </row>
    <row r="25" spans="1:6" ht="20.25" customHeight="1" x14ac:dyDescent="0.3">
      <c r="A25" s="23">
        <v>45095</v>
      </c>
      <c r="B25" s="24">
        <v>7136</v>
      </c>
      <c r="E25" s="24">
        <v>38136</v>
      </c>
    </row>
    <row r="26" spans="1:6" ht="20.25" customHeight="1" x14ac:dyDescent="0.3">
      <c r="A26" s="23">
        <v>45095</v>
      </c>
      <c r="B26" s="22" t="s">
        <v>65</v>
      </c>
      <c r="E26" s="24">
        <v>38936</v>
      </c>
    </row>
    <row r="28" spans="1:6" ht="20.25" customHeight="1" x14ac:dyDescent="0.3">
      <c r="A28" s="22" t="s">
        <v>17</v>
      </c>
      <c r="B28" s="24">
        <v>2000</v>
      </c>
      <c r="E28" s="24">
        <v>40936</v>
      </c>
    </row>
    <row r="29" spans="1:6" ht="20.25" customHeight="1" x14ac:dyDescent="0.3">
      <c r="A29" s="22" t="s">
        <v>64</v>
      </c>
      <c r="B29" s="24">
        <v>1000</v>
      </c>
      <c r="E29" s="24">
        <v>41936</v>
      </c>
    </row>
    <row r="31" spans="1:6" ht="20.25" customHeight="1" x14ac:dyDescent="0.3">
      <c r="A31" s="23">
        <v>45098</v>
      </c>
      <c r="B31" s="24">
        <v>6675</v>
      </c>
      <c r="E31" s="24">
        <v>48611</v>
      </c>
    </row>
    <row r="32" spans="1:6" ht="20.25" customHeight="1" x14ac:dyDescent="0.3">
      <c r="B32" s="24">
        <v>2500</v>
      </c>
      <c r="E32" s="24">
        <v>51111</v>
      </c>
      <c r="F32" s="22" t="s">
        <v>74</v>
      </c>
    </row>
    <row r="33" spans="1:6" ht="20.25" customHeight="1" x14ac:dyDescent="0.3">
      <c r="B33" s="24">
        <v>2000</v>
      </c>
      <c r="E33" s="24">
        <v>53111</v>
      </c>
      <c r="F33" s="22" t="s">
        <v>75</v>
      </c>
    </row>
    <row r="34" spans="1:6" ht="20.25" customHeight="1" x14ac:dyDescent="0.3">
      <c r="A34" s="23">
        <v>45100</v>
      </c>
      <c r="D34" s="24">
        <v>20000</v>
      </c>
      <c r="E34" s="24">
        <v>33111</v>
      </c>
    </row>
    <row r="35" spans="1:6" ht="20.25" customHeight="1" x14ac:dyDescent="0.3">
      <c r="A35" s="23">
        <v>45111</v>
      </c>
      <c r="B35" s="22">
        <v>200</v>
      </c>
      <c r="E35" s="24">
        <v>33311</v>
      </c>
    </row>
    <row r="36" spans="1:6" ht="20.25" customHeight="1" x14ac:dyDescent="0.3">
      <c r="A36" s="23">
        <v>45121</v>
      </c>
      <c r="B36" s="24">
        <v>13077</v>
      </c>
      <c r="E36" s="24">
        <v>46388</v>
      </c>
    </row>
    <row r="37" spans="1:6" ht="20.25" customHeight="1" x14ac:dyDescent="0.3">
      <c r="A37" s="23">
        <v>45121</v>
      </c>
      <c r="B37" s="24">
        <v>3500</v>
      </c>
      <c r="E37" s="24">
        <v>49888</v>
      </c>
      <c r="F37" s="22" t="s">
        <v>81</v>
      </c>
    </row>
    <row r="38" spans="1:6" ht="20.25" customHeight="1" x14ac:dyDescent="0.3">
      <c r="A38" s="23">
        <v>45121</v>
      </c>
      <c r="B38" s="24">
        <v>4000</v>
      </c>
      <c r="E38" s="24"/>
      <c r="F38" s="22" t="s">
        <v>84</v>
      </c>
    </row>
    <row r="39" spans="1:6" ht="20.25" customHeight="1" x14ac:dyDescent="0.3">
      <c r="A39" s="23">
        <v>45123</v>
      </c>
      <c r="B39" s="24">
        <v>4620</v>
      </c>
      <c r="E39" s="24">
        <v>54508</v>
      </c>
    </row>
    <row r="40" spans="1:6" ht="20.25" customHeight="1" x14ac:dyDescent="0.3">
      <c r="A40" s="23">
        <v>45124</v>
      </c>
      <c r="B40" s="22" t="s">
        <v>83</v>
      </c>
      <c r="E40" s="24">
        <v>55308</v>
      </c>
    </row>
    <row r="41" spans="1:6" ht="20.25" customHeight="1" x14ac:dyDescent="0.3">
      <c r="A41" s="23">
        <v>45140</v>
      </c>
      <c r="D41" s="24">
        <v>15000</v>
      </c>
      <c r="E41" s="24">
        <v>40308</v>
      </c>
    </row>
    <row r="42" spans="1:6" ht="20.25" customHeight="1" x14ac:dyDescent="0.3">
      <c r="A42" s="23">
        <v>45170</v>
      </c>
      <c r="D42" s="24">
        <v>15000</v>
      </c>
    </row>
    <row r="43" spans="1:6" ht="20.25" customHeight="1" x14ac:dyDescent="0.3">
      <c r="A43" s="23">
        <v>45178</v>
      </c>
      <c r="B43" s="22">
        <v>108</v>
      </c>
      <c r="E43" s="24">
        <v>40416</v>
      </c>
    </row>
    <row r="44" spans="1:6" ht="20.25" customHeight="1" x14ac:dyDescent="0.3">
      <c r="A44" s="23">
        <v>45182</v>
      </c>
      <c r="B44" s="24">
        <v>1100</v>
      </c>
      <c r="E44" s="24">
        <v>41516</v>
      </c>
    </row>
    <row r="45" spans="1:6" ht="20.25" customHeight="1" x14ac:dyDescent="0.3">
      <c r="A45" s="23">
        <v>45184</v>
      </c>
      <c r="B45" s="24">
        <v>7230</v>
      </c>
      <c r="E45" s="24">
        <v>48746</v>
      </c>
    </row>
    <row r="46" spans="1:6" ht="20.25" customHeight="1" x14ac:dyDescent="0.3">
      <c r="A46" s="23">
        <v>45185</v>
      </c>
      <c r="B46" s="24">
        <v>6750</v>
      </c>
      <c r="E46" s="24">
        <v>55496</v>
      </c>
    </row>
    <row r="47" spans="1:6" ht="20.25" customHeight="1" x14ac:dyDescent="0.3">
      <c r="A47" s="23">
        <v>45191</v>
      </c>
      <c r="B47" s="24">
        <v>1000</v>
      </c>
      <c r="E47" s="24">
        <v>56496</v>
      </c>
    </row>
    <row r="48" spans="1:6" ht="20.25" customHeight="1" x14ac:dyDescent="0.3">
      <c r="A48" s="23">
        <v>45196</v>
      </c>
      <c r="B48" s="24">
        <v>1400</v>
      </c>
      <c r="E48" s="24">
        <v>57896</v>
      </c>
    </row>
    <row r="49" spans="1:6" ht="20.25" customHeight="1" x14ac:dyDescent="0.3">
      <c r="A49" s="23">
        <v>45197</v>
      </c>
      <c r="B49" s="24">
        <v>10224</v>
      </c>
      <c r="E49" s="24">
        <v>68120</v>
      </c>
    </row>
    <row r="50" spans="1:6" ht="20.25" customHeight="1" x14ac:dyDescent="0.3">
      <c r="A50" s="23">
        <v>45199</v>
      </c>
      <c r="B50" s="24">
        <v>5296</v>
      </c>
      <c r="E50" s="24">
        <v>73416</v>
      </c>
    </row>
    <row r="51" spans="1:6" ht="20.25" customHeight="1" x14ac:dyDescent="0.3">
      <c r="A51" s="23">
        <v>45205</v>
      </c>
      <c r="B51" s="24">
        <v>1600</v>
      </c>
      <c r="E51" s="24">
        <v>75016</v>
      </c>
    </row>
    <row r="52" spans="1:6" ht="20.25" customHeight="1" x14ac:dyDescent="0.3">
      <c r="A52" s="23">
        <v>45214</v>
      </c>
      <c r="B52" s="24">
        <v>10710</v>
      </c>
      <c r="E52" s="24">
        <v>85726</v>
      </c>
    </row>
    <row r="53" spans="1:6" ht="20.25" customHeight="1" x14ac:dyDescent="0.3">
      <c r="A53" s="23">
        <v>45219</v>
      </c>
      <c r="B53" s="24">
        <v>800</v>
      </c>
      <c r="E53" s="24">
        <v>86526</v>
      </c>
    </row>
    <row r="54" spans="1:6" ht="20.25" customHeight="1" x14ac:dyDescent="0.3">
      <c r="A54" s="23">
        <v>45220</v>
      </c>
      <c r="B54" s="24">
        <v>5348</v>
      </c>
      <c r="E54" s="24">
        <v>91874</v>
      </c>
    </row>
    <row r="55" spans="1:6" ht="20.25" customHeight="1" x14ac:dyDescent="0.3">
      <c r="A55" s="23">
        <v>45220</v>
      </c>
      <c r="B55" s="22">
        <v>250</v>
      </c>
      <c r="E55" s="24">
        <v>92124</v>
      </c>
    </row>
    <row r="56" spans="1:6" ht="20.25" customHeight="1" x14ac:dyDescent="0.3">
      <c r="A56" s="23">
        <v>45220</v>
      </c>
      <c r="B56" s="24">
        <v>7250</v>
      </c>
      <c r="E56" s="24">
        <v>99374</v>
      </c>
    </row>
    <row r="57" spans="1:6" ht="20.25" customHeight="1" x14ac:dyDescent="0.3">
      <c r="A57" s="23">
        <v>45222</v>
      </c>
      <c r="B57" s="24">
        <v>2460</v>
      </c>
      <c r="E57" s="24">
        <v>101834</v>
      </c>
    </row>
    <row r="58" spans="1:6" ht="20.25" customHeight="1" x14ac:dyDescent="0.3">
      <c r="A58" s="23">
        <v>45228</v>
      </c>
      <c r="B58" s="24">
        <v>4000</v>
      </c>
      <c r="E58" s="24">
        <v>105834</v>
      </c>
    </row>
    <row r="59" spans="1:6" ht="20.25" customHeight="1" x14ac:dyDescent="0.3">
      <c r="B59" s="24">
        <v>1000</v>
      </c>
      <c r="E59" s="24">
        <v>106834</v>
      </c>
      <c r="F59" s="22" t="s">
        <v>130</v>
      </c>
    </row>
    <row r="60" spans="1:6" ht="20.25" customHeight="1" x14ac:dyDescent="0.3">
      <c r="A60" s="23">
        <v>45233</v>
      </c>
      <c r="D60" s="24">
        <v>15000</v>
      </c>
      <c r="E60" s="24">
        <v>91834</v>
      </c>
    </row>
    <row r="61" spans="1:6" ht="20.25" customHeight="1" x14ac:dyDescent="0.3">
      <c r="A61" s="23">
        <v>45234</v>
      </c>
      <c r="B61" s="24">
        <v>1510</v>
      </c>
      <c r="E61" s="24">
        <v>93344</v>
      </c>
    </row>
    <row r="62" spans="1:6" ht="20.25" customHeight="1" x14ac:dyDescent="0.3">
      <c r="A62" s="23">
        <v>45255</v>
      </c>
      <c r="B62" s="24">
        <v>8100</v>
      </c>
      <c r="E62" s="24">
        <v>101444</v>
      </c>
    </row>
    <row r="63" spans="1:6" ht="20.25" customHeight="1" x14ac:dyDescent="0.3">
      <c r="A63" s="23">
        <v>45262</v>
      </c>
      <c r="B63" s="24">
        <v>1300</v>
      </c>
      <c r="E63" s="24">
        <v>102744</v>
      </c>
      <c r="F63" s="24"/>
    </row>
    <row r="64" spans="1:6" ht="20.25" customHeight="1" x14ac:dyDescent="0.3">
      <c r="A64" s="23">
        <v>45276</v>
      </c>
      <c r="B64" s="24">
        <v>3675</v>
      </c>
      <c r="C64" s="22" t="s">
        <v>138</v>
      </c>
      <c r="E64" s="24"/>
      <c r="F64" s="24"/>
    </row>
    <row r="65" spans="1:6" ht="20.25" customHeight="1" x14ac:dyDescent="0.3">
      <c r="A65" s="23">
        <v>45282</v>
      </c>
      <c r="B65" s="22">
        <v>900</v>
      </c>
      <c r="E65" s="24">
        <v>103644</v>
      </c>
      <c r="F65" s="24"/>
    </row>
    <row r="66" spans="1:6" ht="20.25" customHeight="1" x14ac:dyDescent="0.3">
      <c r="A66" s="23">
        <v>45283</v>
      </c>
      <c r="B66" s="22">
        <v>700</v>
      </c>
      <c r="E66" s="24">
        <v>104344</v>
      </c>
    </row>
    <row r="67" spans="1:6" ht="20.25" customHeight="1" x14ac:dyDescent="0.3">
      <c r="A67" s="23">
        <v>45289</v>
      </c>
      <c r="B67" s="24">
        <v>2250</v>
      </c>
      <c r="E67" s="24">
        <v>106594</v>
      </c>
      <c r="F67" s="24"/>
    </row>
    <row r="68" spans="1:6" ht="20.25" customHeight="1" x14ac:dyDescent="0.3">
      <c r="A68" s="23">
        <v>45293</v>
      </c>
      <c r="B68" s="24"/>
      <c r="D68" s="24">
        <v>20000</v>
      </c>
      <c r="E68" s="24">
        <v>86594</v>
      </c>
      <c r="F68" s="24"/>
    </row>
    <row r="69" spans="1:6" ht="20.25" customHeight="1" x14ac:dyDescent="0.3">
      <c r="A69" s="23">
        <v>45294</v>
      </c>
      <c r="B69" s="24">
        <v>1600</v>
      </c>
      <c r="E69" s="24">
        <v>88194</v>
      </c>
    </row>
    <row r="70" spans="1:6" ht="20.25" customHeight="1" x14ac:dyDescent="0.3">
      <c r="A70" s="23">
        <v>45304</v>
      </c>
      <c r="B70" s="24">
        <v>1000</v>
      </c>
      <c r="E70" s="24">
        <v>89194</v>
      </c>
    </row>
    <row r="71" spans="1:6" ht="20.25" customHeight="1" x14ac:dyDescent="0.3">
      <c r="A71" s="23">
        <v>45332</v>
      </c>
      <c r="B71" s="24">
        <v>5525</v>
      </c>
      <c r="E71" s="24">
        <v>94719</v>
      </c>
    </row>
    <row r="72" spans="1:6" ht="20.25" customHeight="1" x14ac:dyDescent="0.3">
      <c r="A72" s="23">
        <v>45335</v>
      </c>
      <c r="B72" s="24">
        <v>6875</v>
      </c>
      <c r="E72" s="24">
        <v>101594</v>
      </c>
    </row>
    <row r="73" spans="1:6" ht="20.25" customHeight="1" x14ac:dyDescent="0.3">
      <c r="A73" s="23">
        <v>45336</v>
      </c>
      <c r="B73" s="22">
        <v>900</v>
      </c>
      <c r="E73" s="24">
        <v>102494</v>
      </c>
    </row>
    <row r="74" spans="1:6" ht="20.25" customHeight="1" x14ac:dyDescent="0.3">
      <c r="A74" s="23">
        <v>45338</v>
      </c>
      <c r="B74" s="24">
        <v>48400</v>
      </c>
      <c r="E74" s="24">
        <v>150894</v>
      </c>
    </row>
    <row r="75" spans="1:6" ht="20.25" customHeight="1" x14ac:dyDescent="0.3">
      <c r="A75" s="23">
        <v>45345</v>
      </c>
      <c r="B75" s="24">
        <v>2250</v>
      </c>
      <c r="E75" s="24">
        <v>153144</v>
      </c>
    </row>
    <row r="76" spans="1:6" ht="20.25" customHeight="1" x14ac:dyDescent="0.3">
      <c r="A76" s="23">
        <v>45349</v>
      </c>
      <c r="B76" s="24">
        <v>4500</v>
      </c>
      <c r="E76" s="24">
        <v>157644</v>
      </c>
    </row>
    <row r="77" spans="1:6" ht="20.25" customHeight="1" x14ac:dyDescent="0.3">
      <c r="A77" s="23">
        <v>45352</v>
      </c>
      <c r="B77" s="24">
        <v>7200</v>
      </c>
      <c r="E77" s="24">
        <v>164844</v>
      </c>
    </row>
    <row r="78" spans="1:6" ht="20.25" customHeight="1" x14ac:dyDescent="0.3">
      <c r="A78" s="23">
        <v>45370</v>
      </c>
      <c r="B78" s="24">
        <v>4000</v>
      </c>
      <c r="E78" s="24">
        <v>168844</v>
      </c>
    </row>
    <row r="79" spans="1:6" ht="20.25" customHeight="1" x14ac:dyDescent="0.3">
      <c r="A79" s="23">
        <v>45383</v>
      </c>
      <c r="B79" s="24"/>
      <c r="D79" s="24">
        <v>50000</v>
      </c>
      <c r="E79" s="24">
        <v>118844</v>
      </c>
    </row>
    <row r="80" spans="1:6" ht="20.25" customHeight="1" x14ac:dyDescent="0.3">
      <c r="A80" s="23">
        <v>45390</v>
      </c>
      <c r="B80" s="24">
        <v>6600</v>
      </c>
      <c r="E80" s="24">
        <v>125444</v>
      </c>
    </row>
    <row r="81" spans="1:5" ht="20.25" customHeight="1" x14ac:dyDescent="0.3">
      <c r="A81" s="23">
        <v>45398</v>
      </c>
      <c r="B81" s="24">
        <v>10800</v>
      </c>
      <c r="E81" s="24">
        <v>136244</v>
      </c>
    </row>
    <row r="82" spans="1:5" ht="20.25" customHeight="1" x14ac:dyDescent="0.3">
      <c r="A82" s="23">
        <v>45406</v>
      </c>
      <c r="B82" s="24">
        <v>3150</v>
      </c>
      <c r="E82" s="24">
        <v>139394</v>
      </c>
    </row>
    <row r="83" spans="1:5" ht="20.25" customHeight="1" x14ac:dyDescent="0.3">
      <c r="A83" s="23">
        <v>45409</v>
      </c>
      <c r="B83" s="24">
        <v>35325</v>
      </c>
      <c r="E83" s="24">
        <v>174719</v>
      </c>
    </row>
    <row r="84" spans="1:5" ht="20.25" customHeight="1" x14ac:dyDescent="0.3">
      <c r="A84" s="23">
        <v>45429</v>
      </c>
      <c r="B84" s="24">
        <v>28225</v>
      </c>
      <c r="E84" s="24">
        <v>202944</v>
      </c>
    </row>
    <row r="85" spans="1:5" ht="20.25" customHeight="1" x14ac:dyDescent="0.3">
      <c r="A85" s="23">
        <v>45440</v>
      </c>
      <c r="B85" s="24"/>
      <c r="D85" s="24">
        <v>50000</v>
      </c>
      <c r="E85" s="24">
        <v>152944</v>
      </c>
    </row>
    <row r="86" spans="1:5" ht="20.25" customHeight="1" x14ac:dyDescent="0.3">
      <c r="A86" s="23">
        <v>45441</v>
      </c>
      <c r="B86" s="24">
        <v>1200</v>
      </c>
      <c r="E86" s="24">
        <v>154144</v>
      </c>
    </row>
    <row r="87" spans="1:5" ht="20.25" customHeight="1" x14ac:dyDescent="0.3">
      <c r="A87" s="23">
        <v>45447</v>
      </c>
      <c r="B87" s="24">
        <v>3000</v>
      </c>
      <c r="E87" s="24">
        <v>157144</v>
      </c>
    </row>
    <row r="88" spans="1:5" ht="20.25" customHeight="1" x14ac:dyDescent="0.3">
      <c r="A88" s="23">
        <v>45455</v>
      </c>
      <c r="B88" s="24">
        <v>6600</v>
      </c>
      <c r="E88" s="24">
        <v>163744</v>
      </c>
    </row>
    <row r="89" spans="1:5" ht="20.25" customHeight="1" x14ac:dyDescent="0.3">
      <c r="A89" s="23">
        <v>45464</v>
      </c>
      <c r="B89" s="22">
        <v>500</v>
      </c>
      <c r="E89" s="24">
        <v>164244</v>
      </c>
    </row>
    <row r="90" spans="1:5" ht="20.25" customHeight="1" x14ac:dyDescent="0.3">
      <c r="A90" s="23">
        <v>45472</v>
      </c>
      <c r="B90" s="24">
        <v>6000</v>
      </c>
      <c r="E90" s="24">
        <v>170244</v>
      </c>
    </row>
    <row r="91" spans="1:5" ht="20.25" customHeight="1" x14ac:dyDescent="0.3">
      <c r="A91" s="23">
        <v>45499</v>
      </c>
      <c r="B91" s="24">
        <v>3960</v>
      </c>
      <c r="E91" s="24">
        <v>174204</v>
      </c>
    </row>
    <row r="92" spans="1:5" ht="20.25" customHeight="1" x14ac:dyDescent="0.3">
      <c r="A92" s="23">
        <v>45491</v>
      </c>
      <c r="B92" s="24"/>
      <c r="D92" s="24">
        <v>20000</v>
      </c>
      <c r="E92" s="24">
        <v>154204</v>
      </c>
    </row>
    <row r="93" spans="1:5" ht="20.25" customHeight="1" x14ac:dyDescent="0.3">
      <c r="A93" s="23">
        <v>45513</v>
      </c>
      <c r="B93" s="24"/>
      <c r="D93" s="24">
        <v>20000</v>
      </c>
      <c r="E93" s="24">
        <v>134204</v>
      </c>
    </row>
    <row r="94" spans="1:5" ht="20.25" customHeight="1" x14ac:dyDescent="0.3">
      <c r="A94" s="23">
        <v>45527</v>
      </c>
      <c r="B94" s="24">
        <v>2675</v>
      </c>
      <c r="E94" s="24">
        <v>136879</v>
      </c>
    </row>
    <row r="95" spans="1:5" ht="20.25" customHeight="1" x14ac:dyDescent="0.3">
      <c r="A95" s="23">
        <v>45535</v>
      </c>
      <c r="B95" s="24">
        <v>4200</v>
      </c>
      <c r="E95" s="24">
        <v>141079</v>
      </c>
    </row>
    <row r="96" spans="1:5" ht="20.25" customHeight="1" x14ac:dyDescent="0.3">
      <c r="A96" s="23">
        <v>45549</v>
      </c>
      <c r="B96" s="22">
        <v>6900</v>
      </c>
      <c r="E96" s="24">
        <v>147979</v>
      </c>
    </row>
    <row r="97" spans="1:6" ht="20.25" customHeight="1" x14ac:dyDescent="0.3">
      <c r="A97" s="23">
        <v>45553</v>
      </c>
      <c r="B97" s="22">
        <v>2020</v>
      </c>
      <c r="E97" s="24">
        <v>149999</v>
      </c>
    </row>
    <row r="98" spans="1:6" ht="20.25" customHeight="1" x14ac:dyDescent="0.3">
      <c r="D98" s="24" t="s">
        <v>189</v>
      </c>
      <c r="E98" s="24">
        <v>119999</v>
      </c>
    </row>
    <row r="99" spans="1:6" ht="20.25" customHeight="1" x14ac:dyDescent="0.3">
      <c r="A99" s="23">
        <v>45584</v>
      </c>
      <c r="B99" s="24">
        <v>25940</v>
      </c>
      <c r="E99" s="24">
        <v>145939</v>
      </c>
    </row>
    <row r="100" spans="1:6" ht="20.25" customHeight="1" x14ac:dyDescent="0.3">
      <c r="A100" s="23">
        <v>45597</v>
      </c>
      <c r="B100" s="22">
        <v>4800</v>
      </c>
      <c r="E100" s="24">
        <v>150739</v>
      </c>
    </row>
    <row r="101" spans="1:6" ht="20.25" customHeight="1" x14ac:dyDescent="0.3">
      <c r="A101" s="23">
        <v>45599</v>
      </c>
      <c r="B101" s="22">
        <v>6000</v>
      </c>
      <c r="E101" s="24">
        <v>156739</v>
      </c>
    </row>
    <row r="102" spans="1:6" ht="20.25" customHeight="1" x14ac:dyDescent="0.3">
      <c r="A102" s="23">
        <v>45605</v>
      </c>
      <c r="B102" s="22">
        <v>5400</v>
      </c>
      <c r="E102" s="24">
        <v>162139</v>
      </c>
    </row>
    <row r="103" spans="1:6" ht="20.25" customHeight="1" x14ac:dyDescent="0.3">
      <c r="A103" s="23">
        <v>45603</v>
      </c>
      <c r="B103" s="22">
        <v>8350</v>
      </c>
      <c r="E103" s="24">
        <v>170489</v>
      </c>
    </row>
    <row r="104" spans="1:6" ht="20.25" customHeight="1" x14ac:dyDescent="0.3">
      <c r="A104" s="23">
        <v>45612</v>
      </c>
      <c r="B104" s="22">
        <v>300</v>
      </c>
      <c r="E104" s="24">
        <v>170789</v>
      </c>
      <c r="F104" s="22" t="s">
        <v>201</v>
      </c>
    </row>
    <row r="105" spans="1:6" ht="20.25" customHeight="1" x14ac:dyDescent="0.3">
      <c r="A105" s="23">
        <v>45618</v>
      </c>
      <c r="B105" s="22">
        <v>2400</v>
      </c>
      <c r="E105" s="24">
        <v>173189</v>
      </c>
    </row>
    <row r="106" spans="1:6" ht="20.25" customHeight="1" x14ac:dyDescent="0.3">
      <c r="A106" s="23">
        <v>45619</v>
      </c>
      <c r="B106" s="24">
        <v>24450</v>
      </c>
      <c r="E106" s="24">
        <v>197639</v>
      </c>
    </row>
    <row r="107" spans="1:6" ht="20.25" customHeight="1" x14ac:dyDescent="0.3">
      <c r="A107" s="23">
        <v>45640</v>
      </c>
      <c r="B107" s="24">
        <v>52500</v>
      </c>
      <c r="E107" s="24">
        <v>250139</v>
      </c>
    </row>
    <row r="108" spans="1:6" ht="20.25" customHeight="1" x14ac:dyDescent="0.3">
      <c r="A108" s="23">
        <v>45639</v>
      </c>
      <c r="B108" s="22">
        <v>2150</v>
      </c>
      <c r="E108" s="24">
        <v>252289</v>
      </c>
    </row>
    <row r="109" spans="1:6" ht="20.25" customHeight="1" x14ac:dyDescent="0.3">
      <c r="A109" s="23">
        <v>45639</v>
      </c>
      <c r="D109" s="22" t="s">
        <v>216</v>
      </c>
      <c r="E109" s="24">
        <v>192289</v>
      </c>
    </row>
    <row r="110" spans="1:6" ht="20.25" customHeight="1" x14ac:dyDescent="0.3">
      <c r="A110" s="22" t="s">
        <v>215</v>
      </c>
      <c r="B110" s="24">
        <v>14500</v>
      </c>
      <c r="E110" s="24">
        <v>206789</v>
      </c>
    </row>
    <row r="111" spans="1:6" ht="20.25" customHeight="1" x14ac:dyDescent="0.3">
      <c r="A111" s="23">
        <v>45647</v>
      </c>
      <c r="B111" s="22">
        <v>7200</v>
      </c>
      <c r="E111" s="24">
        <v>213989</v>
      </c>
    </row>
    <row r="112" spans="1:6" ht="20.25" customHeight="1" x14ac:dyDescent="0.3">
      <c r="A112" s="23">
        <v>45646</v>
      </c>
      <c r="B112" s="22">
        <v>1400</v>
      </c>
      <c r="E112" s="24">
        <v>215389</v>
      </c>
    </row>
    <row r="113" spans="1:5" ht="20.25" customHeight="1" x14ac:dyDescent="0.3">
      <c r="A113" s="23">
        <v>45674</v>
      </c>
      <c r="B113" s="24"/>
      <c r="D113" s="22" t="s">
        <v>219</v>
      </c>
      <c r="E113" s="24">
        <v>165389</v>
      </c>
    </row>
    <row r="114" spans="1:5" ht="20.25" customHeight="1" x14ac:dyDescent="0.3">
      <c r="A114" s="23">
        <v>45675</v>
      </c>
      <c r="B114" s="24">
        <v>13200</v>
      </c>
      <c r="E114" s="24">
        <v>178589</v>
      </c>
    </row>
    <row r="115" spans="1:5" ht="20.25" customHeight="1" x14ac:dyDescent="0.3">
      <c r="A115" s="23">
        <v>45676</v>
      </c>
      <c r="B115" s="24">
        <v>39000</v>
      </c>
      <c r="E115" s="24">
        <v>217589</v>
      </c>
    </row>
    <row r="116" spans="1:5" ht="20.25" customHeight="1" x14ac:dyDescent="0.3">
      <c r="A116" s="23">
        <v>45678</v>
      </c>
      <c r="B116" s="24">
        <v>36600</v>
      </c>
      <c r="E116" s="24">
        <v>254189</v>
      </c>
    </row>
    <row r="117" spans="1:5" ht="20.25" customHeight="1" x14ac:dyDescent="0.3">
      <c r="A117" s="23">
        <v>45682</v>
      </c>
      <c r="B117" s="22">
        <v>1500</v>
      </c>
      <c r="E117" s="24">
        <v>255689</v>
      </c>
    </row>
    <row r="118" spans="1:5" ht="20.25" customHeight="1" x14ac:dyDescent="0.3">
      <c r="A118" s="23">
        <v>45689</v>
      </c>
      <c r="B118" s="24">
        <v>35000</v>
      </c>
      <c r="E118" s="24">
        <v>290689</v>
      </c>
    </row>
    <row r="119" spans="1:5" ht="20.25" customHeight="1" x14ac:dyDescent="0.3">
      <c r="A119" s="23">
        <v>45691</v>
      </c>
      <c r="B119" s="24"/>
      <c r="D119" s="22" t="s">
        <v>229</v>
      </c>
      <c r="E119" s="24">
        <v>250689</v>
      </c>
    </row>
    <row r="120" spans="1:5" ht="20.25" customHeight="1" x14ac:dyDescent="0.3">
      <c r="A120" s="23">
        <v>45693</v>
      </c>
      <c r="B120" s="22">
        <v>2000</v>
      </c>
      <c r="E120" s="24">
        <v>252689</v>
      </c>
    </row>
    <row r="121" spans="1:5" ht="20.25" customHeight="1" x14ac:dyDescent="0.3">
      <c r="A121" s="23">
        <v>45696</v>
      </c>
      <c r="B121" s="24">
        <v>38700</v>
      </c>
      <c r="E121" s="24">
        <v>291389</v>
      </c>
    </row>
    <row r="122" spans="1:5" ht="20.25" customHeight="1" x14ac:dyDescent="0.3">
      <c r="A122" s="23">
        <v>45703</v>
      </c>
      <c r="B122" s="24">
        <v>24300</v>
      </c>
      <c r="E122" s="24">
        <v>315689</v>
      </c>
    </row>
    <row r="123" spans="1:5" ht="20.25" customHeight="1" x14ac:dyDescent="0.3">
      <c r="A123" s="23">
        <v>45710</v>
      </c>
      <c r="B123" s="24">
        <v>58750</v>
      </c>
      <c r="E123" s="24">
        <v>374439</v>
      </c>
    </row>
    <row r="124" spans="1:5" ht="20.25" customHeight="1" x14ac:dyDescent="0.3">
      <c r="A124" s="23">
        <v>45346</v>
      </c>
      <c r="B124" s="24"/>
      <c r="D124" s="22" t="s">
        <v>231</v>
      </c>
      <c r="E124" s="24">
        <v>274439</v>
      </c>
    </row>
    <row r="125" spans="1:5" ht="20.25" customHeight="1" x14ac:dyDescent="0.3">
      <c r="A125" s="23">
        <v>45738</v>
      </c>
      <c r="B125" s="24">
        <v>10500</v>
      </c>
      <c r="E125" s="24">
        <v>284439</v>
      </c>
    </row>
    <row r="126" spans="1:5" ht="20.25" customHeight="1" x14ac:dyDescent="0.3">
      <c r="A126" s="22" t="s">
        <v>237</v>
      </c>
      <c r="D126" s="22" t="s">
        <v>238</v>
      </c>
      <c r="E126" s="24">
        <v>214439</v>
      </c>
    </row>
    <row r="127" spans="1:5" ht="20.25" customHeight="1" x14ac:dyDescent="0.3">
      <c r="A127" s="23">
        <v>45748</v>
      </c>
      <c r="B127" s="22">
        <v>5250</v>
      </c>
      <c r="E127" s="24">
        <v>219689</v>
      </c>
    </row>
    <row r="128" spans="1:5" ht="20.25" customHeight="1" x14ac:dyDescent="0.3">
      <c r="A128" s="23">
        <v>45750</v>
      </c>
      <c r="B128" s="22">
        <v>5300</v>
      </c>
      <c r="E128" s="24">
        <v>224989</v>
      </c>
    </row>
    <row r="129" spans="1:6" ht="20.25" customHeight="1" x14ac:dyDescent="0.3">
      <c r="A129" s="23">
        <v>45755</v>
      </c>
      <c r="B129" s="22">
        <v>500</v>
      </c>
      <c r="D129" s="22" t="s">
        <v>269</v>
      </c>
      <c r="E129" s="24">
        <v>225489</v>
      </c>
    </row>
    <row r="130" spans="1:6" ht="20.25" customHeight="1" x14ac:dyDescent="0.3">
      <c r="A130" s="23">
        <v>45759</v>
      </c>
      <c r="B130" s="24">
        <v>79750</v>
      </c>
      <c r="E130" s="24">
        <v>305239</v>
      </c>
    </row>
    <row r="131" spans="1:6" ht="20.25" customHeight="1" x14ac:dyDescent="0.3">
      <c r="A131" s="23">
        <v>45760</v>
      </c>
      <c r="B131" s="22">
        <v>1000</v>
      </c>
      <c r="E131" s="24">
        <v>306239</v>
      </c>
    </row>
    <row r="132" spans="1:6" ht="20.25" customHeight="1" x14ac:dyDescent="0.3">
      <c r="A132" s="23">
        <v>45765</v>
      </c>
      <c r="B132" s="24">
        <v>21350</v>
      </c>
      <c r="E132" s="24">
        <v>327589</v>
      </c>
    </row>
    <row r="133" spans="1:6" ht="20.25" customHeight="1" x14ac:dyDescent="0.3">
      <c r="A133" s="23">
        <v>45773</v>
      </c>
      <c r="B133" s="24">
        <v>49140</v>
      </c>
      <c r="E133" s="24">
        <v>376729</v>
      </c>
      <c r="F133" s="28"/>
    </row>
    <row r="134" spans="1:6" ht="20.25" customHeight="1" x14ac:dyDescent="0.3">
      <c r="A134" s="23">
        <v>45778</v>
      </c>
      <c r="B134" s="24">
        <v>103900</v>
      </c>
      <c r="E134" s="24">
        <v>480629</v>
      </c>
    </row>
    <row r="135" spans="1:6" ht="20.25" customHeight="1" x14ac:dyDescent="0.3">
      <c r="A135" s="23">
        <v>45779</v>
      </c>
      <c r="B135" s="22">
        <v>5850</v>
      </c>
      <c r="E135" s="31">
        <v>486479</v>
      </c>
      <c r="F135" s="28"/>
    </row>
    <row r="136" spans="1:6" ht="20.25" customHeight="1" x14ac:dyDescent="0.3">
      <c r="A136" s="23">
        <v>45784</v>
      </c>
      <c r="B136" s="22">
        <v>1700</v>
      </c>
      <c r="E136" s="24">
        <v>488179</v>
      </c>
    </row>
    <row r="137" spans="1:6" ht="20.25" customHeight="1" x14ac:dyDescent="0.3">
      <c r="A137" s="23">
        <v>45784</v>
      </c>
      <c r="D137" s="22" t="s">
        <v>229</v>
      </c>
      <c r="E137" s="24">
        <v>448179</v>
      </c>
    </row>
    <row r="138" spans="1:6" ht="20.25" customHeight="1" x14ac:dyDescent="0.3">
      <c r="A138" s="23">
        <v>45822</v>
      </c>
      <c r="B138" s="24">
        <v>193000</v>
      </c>
      <c r="E138" s="24">
        <v>641179</v>
      </c>
    </row>
    <row r="139" spans="1:6" ht="20.25" customHeight="1" x14ac:dyDescent="0.3">
      <c r="A139" s="23">
        <v>45823</v>
      </c>
      <c r="B139" s="24">
        <v>8650</v>
      </c>
      <c r="E139" s="24">
        <v>649829</v>
      </c>
    </row>
    <row r="140" spans="1:6" ht="20.25" customHeight="1" x14ac:dyDescent="0.3">
      <c r="A140" s="23">
        <v>45793</v>
      </c>
      <c r="B140" s="22">
        <v>5600</v>
      </c>
      <c r="E140" s="24">
        <v>655429</v>
      </c>
    </row>
    <row r="141" spans="1:6" ht="20.25" customHeight="1" x14ac:dyDescent="0.3">
      <c r="A141" s="23">
        <v>45794</v>
      </c>
      <c r="B141" s="22">
        <v>650</v>
      </c>
      <c r="E141" s="24">
        <v>656079</v>
      </c>
    </row>
    <row r="142" spans="1:6" ht="20.25" customHeight="1" x14ac:dyDescent="0.3">
      <c r="A142" s="23">
        <v>45800</v>
      </c>
      <c r="B142" s="24">
        <v>31500</v>
      </c>
      <c r="E142" s="24">
        <v>687579</v>
      </c>
    </row>
    <row r="143" spans="1:6" ht="20.25" customHeight="1" x14ac:dyDescent="0.3">
      <c r="A143" s="23">
        <v>45801</v>
      </c>
      <c r="B143" s="24">
        <v>98600</v>
      </c>
      <c r="E143" s="24">
        <v>786179</v>
      </c>
    </row>
    <row r="144" spans="1:6" ht="20.25" customHeight="1" x14ac:dyDescent="0.3">
      <c r="A144" s="23">
        <v>45802</v>
      </c>
      <c r="B144" s="24">
        <v>39950</v>
      </c>
      <c r="E144" s="24">
        <v>826129</v>
      </c>
    </row>
    <row r="145" spans="1:6" ht="20.25" customHeight="1" x14ac:dyDescent="0.3">
      <c r="A145" s="23">
        <v>45803</v>
      </c>
      <c r="B145" s="24"/>
      <c r="D145" s="22" t="s">
        <v>270</v>
      </c>
      <c r="E145" s="31">
        <v>626129</v>
      </c>
      <c r="F145" s="28"/>
    </row>
    <row r="146" spans="1:6" ht="20.25" customHeight="1" x14ac:dyDescent="0.3">
      <c r="A146" s="23">
        <v>45804</v>
      </c>
      <c r="B146" s="22">
        <v>9875</v>
      </c>
      <c r="E146" s="24">
        <v>636004</v>
      </c>
    </row>
    <row r="147" spans="1:6" ht="20.25" customHeight="1" x14ac:dyDescent="0.3">
      <c r="A147" s="23">
        <v>45809</v>
      </c>
      <c r="B147" s="22">
        <v>5250</v>
      </c>
      <c r="E147" s="24">
        <v>641254</v>
      </c>
    </row>
    <row r="148" spans="1:6" ht="20.25" customHeight="1" x14ac:dyDescent="0.3">
      <c r="A148" s="23">
        <v>45810</v>
      </c>
      <c r="B148" s="22">
        <v>1425</v>
      </c>
      <c r="E148" s="24">
        <v>642679</v>
      </c>
    </row>
    <row r="149" spans="1:6" ht="20.25" customHeight="1" x14ac:dyDescent="0.3">
      <c r="A149" s="23">
        <v>45811</v>
      </c>
      <c r="D149" s="22" t="s">
        <v>296</v>
      </c>
      <c r="E149" s="24">
        <v>442679</v>
      </c>
    </row>
    <row r="150" spans="1:6" ht="20.25" customHeight="1" x14ac:dyDescent="0.3">
      <c r="A150" s="23">
        <v>45819</v>
      </c>
      <c r="B150" s="22">
        <v>7800</v>
      </c>
      <c r="E150" s="24">
        <v>450479</v>
      </c>
    </row>
    <row r="151" spans="1:6" ht="20.25" customHeight="1" x14ac:dyDescent="0.3">
      <c r="A151" s="23">
        <v>45821</v>
      </c>
      <c r="B151" s="24">
        <v>14000</v>
      </c>
      <c r="E151" s="24">
        <v>464479</v>
      </c>
    </row>
    <row r="152" spans="1:6" ht="20.25" customHeight="1" x14ac:dyDescent="0.3">
      <c r="A152" s="23">
        <v>45822</v>
      </c>
      <c r="B152" s="24">
        <v>12400</v>
      </c>
      <c r="E152" s="24">
        <v>476879</v>
      </c>
    </row>
    <row r="153" spans="1:6" ht="20.25" customHeight="1" x14ac:dyDescent="0.3">
      <c r="A153" s="23">
        <v>45823</v>
      </c>
      <c r="B153" s="24">
        <v>80800</v>
      </c>
      <c r="E153" s="24">
        <v>557679</v>
      </c>
    </row>
    <row r="154" spans="1:6" ht="20.25" customHeight="1" x14ac:dyDescent="0.3">
      <c r="A154" s="23">
        <v>45824</v>
      </c>
      <c r="B154" s="24">
        <v>50000</v>
      </c>
      <c r="E154" s="24">
        <v>607679</v>
      </c>
    </row>
    <row r="155" spans="1:6" ht="20.25" customHeight="1" x14ac:dyDescent="0.3">
      <c r="A155" s="23">
        <v>45826</v>
      </c>
      <c r="D155" s="22" t="s">
        <v>297</v>
      </c>
      <c r="E155" s="24">
        <v>507679</v>
      </c>
    </row>
    <row r="156" spans="1:6" ht="20.25" customHeight="1" x14ac:dyDescent="0.3">
      <c r="A156" s="23">
        <v>45828</v>
      </c>
      <c r="B156" s="22">
        <v>2450</v>
      </c>
      <c r="E156" s="24">
        <v>510129</v>
      </c>
    </row>
    <row r="157" spans="1:6" ht="20.25" customHeight="1" x14ac:dyDescent="0.3">
      <c r="A157" s="23">
        <v>45829</v>
      </c>
      <c r="B157" s="24">
        <v>86000</v>
      </c>
      <c r="E157" s="24">
        <v>596129</v>
      </c>
    </row>
    <row r="158" spans="1:6" ht="20.25" customHeight="1" x14ac:dyDescent="0.3">
      <c r="A158" s="23">
        <v>45832</v>
      </c>
      <c r="B158" s="22">
        <v>8000</v>
      </c>
      <c r="E158" s="24">
        <v>604129</v>
      </c>
    </row>
    <row r="159" spans="1:6" ht="20.25" customHeight="1" x14ac:dyDescent="0.3">
      <c r="A159" s="23">
        <v>45834</v>
      </c>
      <c r="B159" s="22">
        <v>1500</v>
      </c>
      <c r="E159" s="24">
        <v>605629</v>
      </c>
    </row>
    <row r="160" spans="1:6" ht="19.8" customHeight="1" x14ac:dyDescent="0.3">
      <c r="A160" s="23">
        <v>45835</v>
      </c>
      <c r="B160" s="22">
        <v>34600</v>
      </c>
      <c r="E160" s="24">
        <v>640229</v>
      </c>
    </row>
    <row r="161" spans="1:6" ht="20.25" customHeight="1" x14ac:dyDescent="0.3">
      <c r="A161" s="23">
        <v>45836</v>
      </c>
      <c r="B161" s="22">
        <v>8350</v>
      </c>
      <c r="E161" s="31">
        <v>648579</v>
      </c>
      <c r="F161" s="28"/>
    </row>
    <row r="162" spans="1:6" ht="20.25" customHeight="1" x14ac:dyDescent="0.3">
      <c r="A162" s="23">
        <v>45842</v>
      </c>
      <c r="B162" s="22">
        <v>1750</v>
      </c>
      <c r="E162" s="31">
        <v>650329</v>
      </c>
      <c r="F162" s="28"/>
    </row>
    <row r="163" spans="1:6" ht="20.25" customHeight="1" x14ac:dyDescent="0.3">
      <c r="A163" s="23">
        <v>45845</v>
      </c>
      <c r="D163" s="22" t="s">
        <v>231</v>
      </c>
      <c r="E163" s="31"/>
      <c r="F163" s="28"/>
    </row>
    <row r="164" spans="1:6" ht="20.25" customHeight="1" x14ac:dyDescent="0.3">
      <c r="A164" s="23">
        <v>45852</v>
      </c>
      <c r="D164" s="22" t="s">
        <v>231</v>
      </c>
      <c r="E164" s="24">
        <v>550329</v>
      </c>
    </row>
    <row r="165" spans="1:6" ht="20.25" customHeight="1" x14ac:dyDescent="0.3">
      <c r="A165" s="23">
        <v>45855</v>
      </c>
      <c r="B165" s="22">
        <v>39400</v>
      </c>
      <c r="E165" s="24">
        <v>589729</v>
      </c>
    </row>
    <row r="166" spans="1:6" ht="20.25" customHeight="1" x14ac:dyDescent="0.3">
      <c r="A166" s="23">
        <v>45862</v>
      </c>
      <c r="D166" s="22" t="s">
        <v>356</v>
      </c>
      <c r="E166" s="24">
        <v>514729</v>
      </c>
    </row>
    <row r="167" spans="1:6" ht="20.25" customHeight="1" x14ac:dyDescent="0.3">
      <c r="A167" s="23">
        <v>45873</v>
      </c>
      <c r="D167" s="22" t="s">
        <v>357</v>
      </c>
      <c r="E167" s="24">
        <v>433729</v>
      </c>
    </row>
    <row r="168" spans="1:6" ht="20.25" customHeight="1" x14ac:dyDescent="0.3">
      <c r="A168" s="23">
        <v>45883</v>
      </c>
      <c r="D168" s="22" t="s">
        <v>356</v>
      </c>
      <c r="E168" s="24">
        <v>358729</v>
      </c>
    </row>
    <row r="169" spans="1:6" ht="20.25" customHeight="1" x14ac:dyDescent="0.3">
      <c r="A169" s="23">
        <v>45892</v>
      </c>
      <c r="B169" s="22">
        <v>5900</v>
      </c>
      <c r="E169" s="22">
        <v>364629</v>
      </c>
    </row>
    <row r="170" spans="1:6" ht="20.25" customHeight="1" x14ac:dyDescent="0.3">
      <c r="A170" s="23">
        <v>45898</v>
      </c>
      <c r="B170" s="22">
        <v>700</v>
      </c>
      <c r="E170" s="22">
        <v>365329</v>
      </c>
    </row>
    <row r="171" spans="1:6" ht="20.25" customHeight="1" x14ac:dyDescent="0.3">
      <c r="A171" s="23">
        <v>45899</v>
      </c>
      <c r="B171" s="22">
        <v>2600</v>
      </c>
      <c r="E171" s="22">
        <v>367929</v>
      </c>
    </row>
    <row r="172" spans="1:6" ht="20.25" customHeight="1" x14ac:dyDescent="0.3">
      <c r="A172" s="23">
        <v>45906</v>
      </c>
      <c r="B172" s="22">
        <v>69900</v>
      </c>
      <c r="E172" s="22">
        <v>437829</v>
      </c>
    </row>
    <row r="173" spans="1:6" ht="20.25" customHeight="1" x14ac:dyDescent="0.3">
      <c r="A173" s="23">
        <v>45907</v>
      </c>
      <c r="B173" s="22">
        <v>2250</v>
      </c>
      <c r="E173" s="22">
        <v>440079</v>
      </c>
    </row>
    <row r="174" spans="1:6" ht="20.25" customHeight="1" x14ac:dyDescent="0.3">
      <c r="A174" s="23">
        <v>45910</v>
      </c>
      <c r="D174" s="22" t="s">
        <v>422</v>
      </c>
    </row>
    <row r="175" spans="1:6" ht="20.25" customHeight="1" x14ac:dyDescent="0.3">
      <c r="A175" s="23">
        <v>45910</v>
      </c>
      <c r="B175" s="22">
        <v>22350</v>
      </c>
      <c r="E175" s="22">
        <v>462429</v>
      </c>
    </row>
    <row r="176" spans="1:6" ht="20.25" customHeight="1" x14ac:dyDescent="0.3">
      <c r="A176" s="23">
        <v>45914</v>
      </c>
      <c r="B176" s="22">
        <v>61675</v>
      </c>
      <c r="E176" s="22">
        <v>524104</v>
      </c>
    </row>
    <row r="177" spans="1:5" ht="20.25" customHeight="1" x14ac:dyDescent="0.3">
      <c r="A177" s="23">
        <v>45925</v>
      </c>
      <c r="D177" s="22" t="s">
        <v>390</v>
      </c>
      <c r="E177" s="22">
        <v>424104</v>
      </c>
    </row>
    <row r="178" spans="1:5" ht="20.25" customHeight="1" x14ac:dyDescent="0.3">
      <c r="A178" s="23">
        <v>45926</v>
      </c>
      <c r="B178" s="22">
        <v>61250</v>
      </c>
      <c r="E178" s="22">
        <v>485354</v>
      </c>
    </row>
    <row r="179" spans="1:5" ht="20.25" customHeight="1" x14ac:dyDescent="0.3">
      <c r="A179" s="23">
        <v>45926</v>
      </c>
      <c r="B179" s="22">
        <v>73250</v>
      </c>
      <c r="E179" s="22">
        <v>558604</v>
      </c>
    </row>
    <row r="180" spans="1:5" ht="20.25" customHeight="1" x14ac:dyDescent="0.3">
      <c r="A180" s="23">
        <v>45926</v>
      </c>
      <c r="B180" s="22">
        <v>6120</v>
      </c>
      <c r="E180" s="22">
        <v>564724</v>
      </c>
    </row>
    <row r="181" spans="1:5" ht="20.25" customHeight="1" x14ac:dyDescent="0.3">
      <c r="A181" s="23">
        <v>45926</v>
      </c>
      <c r="B181" s="22">
        <v>156050</v>
      </c>
      <c r="E181" s="22">
        <v>720774</v>
      </c>
    </row>
    <row r="182" spans="1:5" ht="20.25" customHeight="1" x14ac:dyDescent="0.3">
      <c r="A182" s="23">
        <v>45928</v>
      </c>
      <c r="B182" s="22">
        <v>23900</v>
      </c>
      <c r="E182" s="24">
        <v>744674</v>
      </c>
    </row>
    <row r="183" spans="1:5" ht="20.25" customHeight="1" x14ac:dyDescent="0.3">
      <c r="A183" s="23">
        <v>45931</v>
      </c>
      <c r="D183" s="22" t="s">
        <v>216</v>
      </c>
      <c r="E183" s="24">
        <v>684674</v>
      </c>
    </row>
    <row r="184" spans="1:5" ht="20.25" customHeight="1" x14ac:dyDescent="0.3">
      <c r="A184" s="22" t="s">
        <v>391</v>
      </c>
      <c r="D184" s="22" t="s">
        <v>392</v>
      </c>
      <c r="E184" s="24">
        <v>604674</v>
      </c>
    </row>
    <row r="185" spans="1:5" ht="20.25" customHeight="1" x14ac:dyDescent="0.3">
      <c r="A185" s="23">
        <v>45939</v>
      </c>
      <c r="D185" s="22" t="s">
        <v>421</v>
      </c>
      <c r="E185" s="24">
        <v>454674</v>
      </c>
    </row>
    <row r="186" spans="1:5" ht="20.25" customHeight="1" x14ac:dyDescent="0.3">
      <c r="A186" s="23">
        <v>45939</v>
      </c>
      <c r="B186" s="24">
        <v>23900</v>
      </c>
      <c r="E186" s="22">
        <v>478574</v>
      </c>
    </row>
    <row r="187" spans="1:5" ht="20.25" customHeight="1" x14ac:dyDescent="0.3">
      <c r="A187" s="23">
        <v>45943</v>
      </c>
      <c r="B187" s="24"/>
      <c r="D187" s="22" t="s">
        <v>390</v>
      </c>
      <c r="E187" s="22">
        <v>378574</v>
      </c>
    </row>
    <row r="188" spans="1:5" ht="20.25" customHeight="1" x14ac:dyDescent="0.3">
      <c r="A188" s="23">
        <v>45946</v>
      </c>
      <c r="B188" s="22">
        <v>10450</v>
      </c>
      <c r="E188" s="22">
        <v>389024</v>
      </c>
    </row>
    <row r="189" spans="1:5" ht="20.25" customHeight="1" x14ac:dyDescent="0.3">
      <c r="A189" s="23">
        <v>45948</v>
      </c>
      <c r="B189" s="24">
        <v>13900</v>
      </c>
      <c r="E189" s="22">
        <v>402924</v>
      </c>
    </row>
    <row r="190" spans="1:5" ht="20.25" customHeight="1" x14ac:dyDescent="0.3">
      <c r="A190" s="23">
        <v>45948</v>
      </c>
      <c r="B190" s="22">
        <v>43200</v>
      </c>
      <c r="E190" s="22">
        <v>446124</v>
      </c>
    </row>
    <row r="191" spans="1:5" ht="20.25" customHeight="1" x14ac:dyDescent="0.3">
      <c r="A191" s="23">
        <v>45948</v>
      </c>
      <c r="B191" s="22">
        <v>463750</v>
      </c>
      <c r="E191" s="22">
        <v>909874</v>
      </c>
    </row>
    <row r="192" spans="1:5" ht="20.25" customHeight="1" x14ac:dyDescent="0.3">
      <c r="A192" s="23">
        <v>45948</v>
      </c>
      <c r="B192" s="24">
        <v>70000</v>
      </c>
      <c r="E192" s="22">
        <v>779874</v>
      </c>
    </row>
    <row r="193" spans="1:6" ht="20.25" customHeight="1" x14ac:dyDescent="0.3">
      <c r="A193" s="23">
        <v>45952</v>
      </c>
      <c r="B193" s="22" t="s">
        <v>423</v>
      </c>
      <c r="D193" s="22" t="s">
        <v>424</v>
      </c>
      <c r="E193" s="24">
        <v>759874</v>
      </c>
    </row>
    <row r="194" spans="1:6" ht="20.25" customHeight="1" x14ac:dyDescent="0.3">
      <c r="A194" s="23">
        <v>45950</v>
      </c>
      <c r="B194" s="22">
        <v>1950</v>
      </c>
      <c r="E194" s="24">
        <v>761824</v>
      </c>
      <c r="F194" s="32"/>
    </row>
    <row r="195" spans="1:6" ht="20.25" customHeight="1" x14ac:dyDescent="0.3">
      <c r="A195" s="23">
        <v>45954</v>
      </c>
      <c r="B195" s="24">
        <v>70350</v>
      </c>
      <c r="E195" s="24">
        <v>832174</v>
      </c>
      <c r="F195" s="32"/>
    </row>
    <row r="196" spans="1:6" ht="20.25" customHeight="1" x14ac:dyDescent="0.3">
      <c r="A196" s="23">
        <v>45957</v>
      </c>
      <c r="D196" s="22" t="s">
        <v>390</v>
      </c>
      <c r="E196" s="24">
        <v>732174</v>
      </c>
      <c r="F196" s="32" t="s">
        <v>429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33</vt:i4>
      </vt:variant>
    </vt:vector>
  </HeadingPairs>
  <TitlesOfParts>
    <vt:vector size="33" baseType="lpstr">
      <vt:lpstr>ARALIK 2022</vt:lpstr>
      <vt:lpstr>OCAK</vt:lpstr>
      <vt:lpstr>NİSAN</vt:lpstr>
      <vt:lpstr>MAYIS</vt:lpstr>
      <vt:lpstr>HAZİRAN</vt:lpstr>
      <vt:lpstr>TEMMUZ</vt:lpstr>
      <vt:lpstr>EYLÜL</vt:lpstr>
      <vt:lpstr>EKİM</vt:lpstr>
      <vt:lpstr>KASIM</vt:lpstr>
      <vt:lpstr>ARALIK</vt:lpstr>
      <vt:lpstr>OCAK 2024</vt:lpstr>
      <vt:lpstr>ŞUBAT 2024</vt:lpstr>
      <vt:lpstr>MART 2024</vt:lpstr>
      <vt:lpstr>NİSAN 2024</vt:lpstr>
      <vt:lpstr>MAYIS 2024</vt:lpstr>
      <vt:lpstr>HAZİRAN 2024</vt:lpstr>
      <vt:lpstr>TEMMUZ 2024</vt:lpstr>
      <vt:lpstr>AĞUSTOS 2024</vt:lpstr>
      <vt:lpstr>EYLÜL 2024 (2)</vt:lpstr>
      <vt:lpstr>ekim 2024 (2)</vt:lpstr>
      <vt:lpstr>kasım 2024 (2)</vt:lpstr>
      <vt:lpstr>ARALIK 2024 (2)</vt:lpstr>
      <vt:lpstr>OCAK 2025 (2)</vt:lpstr>
      <vt:lpstr>ŞUBAT 2025 (2)</vt:lpstr>
      <vt:lpstr>MART 2025 (2)</vt:lpstr>
      <vt:lpstr>NİSAN 2025 (2)</vt:lpstr>
      <vt:lpstr>MAYIS 2025 (2)</vt:lpstr>
      <vt:lpstr>HAZİRAN 2025 (2)</vt:lpstr>
      <vt:lpstr>TEMMUZ 2025 (2)</vt:lpstr>
      <vt:lpstr>AĞUSTOS 2025 (2)</vt:lpstr>
      <vt:lpstr>EYLÜL 2025 (2)</vt:lpstr>
      <vt:lpstr>EKİM 2025</vt:lpstr>
      <vt:lpstr>CARİ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Brothers Pool</cp:lastModifiedBy>
  <dcterms:created xsi:type="dcterms:W3CDTF">2022-11-11T12:19:39Z</dcterms:created>
  <dcterms:modified xsi:type="dcterms:W3CDTF">2025-10-27T11:33:32Z</dcterms:modified>
</cp:coreProperties>
</file>